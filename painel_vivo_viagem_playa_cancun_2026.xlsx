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0cf64df8e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ab6479f6e6740d8"/>
    <x:sheet xmlns:r="http://schemas.openxmlformats.org/officeDocument/2006/relationships" name="Custos" sheetId="2" r:id="R0af4f2cb338e47f9"/>
    <x:sheet xmlns:r="http://schemas.openxmlformats.org/officeDocument/2006/relationships" name="Reservas" sheetId="3" r:id="R8399b6a18db7419b"/>
    <x:sheet xmlns:r="http://schemas.openxmlformats.org/officeDocument/2006/relationships" name="Checklist" sheetId="4" r:id="Rff7bd300a1484f00"/>
    <x:sheet xmlns:r="http://schemas.openxmlformats.org/officeDocument/2006/relationships" name="Links" sheetId="5" r:id="R749f0503671e4df1"/>
    <x:sheet xmlns:r="http://schemas.openxmlformats.org/officeDocument/2006/relationships" name="Cambio" sheetId="6" r:id="R38a017f539b1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374151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0" fillId="2" borderId="1" xfId="0" applyNumberFormat="1" applyFont="1" applyFill="1" applyBorder="1"/>
    <x:xf numFmtId="20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36be1a62045cc" /><Relationship Type="http://schemas.openxmlformats.org/officeDocument/2006/relationships/theme" Target="/xl/theme/theme1.xml" Id="R031deed92dc147e1" /><Relationship Type="http://schemas.openxmlformats.org/officeDocument/2006/relationships/sharedStrings" Target="/xl/sharedStrings.xml" Id="R4aee9e4060ae4cca" /><Relationship Type="http://schemas.openxmlformats.org/officeDocument/2006/relationships/worksheet" Target="/xl/worksheets/sheet1.xml" Id="R3ab6479f6e6740d8" /><Relationship Type="http://schemas.openxmlformats.org/officeDocument/2006/relationships/worksheet" Target="/xl/worksheets/sheet2.xml" Id="R0af4f2cb338e47f9" /><Relationship Type="http://schemas.openxmlformats.org/officeDocument/2006/relationships/worksheet" Target="/xl/worksheets/sheet3.xml" Id="R8399b6a18db7419b" /><Relationship Type="http://schemas.openxmlformats.org/officeDocument/2006/relationships/worksheet" Target="/xl/worksheets/sheet4.xml" Id="Rff7bd300a1484f00" /><Relationship Type="http://schemas.openxmlformats.org/officeDocument/2006/relationships/worksheet" Target="/xl/worksheets/sheet5.xml" Id="R749f0503671e4df1" /><Relationship Type="http://schemas.openxmlformats.org/officeDocument/2006/relationships/worksheet" Target="/xl/worksheets/sheet6.xml" Id="R38a017f539b146fa" /></Relationships>
</file>

<file path=xl/tables/table1.xml><?xml version="1.0" encoding="utf-8"?>
<x:table xmlns:x="http://schemas.openxmlformats.org/spreadsheetml/2006/main" id="1" name="CustosTable" displayName="CustosTable" ref="A1:G14" headerRowCount="1">
  <x:tableColumns count="7">
    <x:tableColumn id="1" name="Categoria"/>
    <x:tableColumn id="2" name="Item"/>
    <x:tableColumn id="3" name="Previsto mín."/>
    <x:tableColumn id="4" name="Previsto máx."/>
    <x:tableColumn id="5" name="Real"/>
    <x:tableColumn id="6" name="Status"/>
    <x:tableColumn id="7" name="Obs"/>
  </x:tableColumns>
  <x:tableStyleInfo name="TableStyleMedium2" showRowStripes="1"/>
</x:table>
</file>

<file path=xl/tables/table2.xml><?xml version="1.0" encoding="utf-8"?>
<x:table xmlns:x="http://schemas.openxmlformats.org/spreadsheetml/2006/main" id="2" name="ReservasTable" displayName="ReservasTable" ref="A1:F9" headerRowCount="1">
  <x:tableColumns count="6">
    <x:tableColumn id="1" name="Reserva"/>
    <x:tableColumn id="2" name="Data"/>
    <x:tableColumn id="3" name="Status"/>
    <x:tableColumn id="4" name="Valor"/>
    <x:tableColumn id="5" name="Link/Comprovante"/>
    <x:tableColumn id="6" name="Observação"/>
  </x:tableColumns>
  <x:tableStyleInfo name="TableStyleMedium2" showRowStripes="1"/>
</x:table>
</file>

<file path=xl/tables/table3.xml><?xml version="1.0" encoding="utf-8"?>
<x:table xmlns:x="http://schemas.openxmlformats.org/spreadsheetml/2006/main" id="3" name="ChecklistTable" displayName="ChecklistTable" ref="A1:F13" headerRowCount="1">
  <x:tableColumns count="6">
    <x:tableColumn id="1" name="Categoria"/>
    <x:tableColumn id="2" name="Item"/>
    <x:tableColumn id="3" name="Status"/>
    <x:tableColumn id="4" name="Prioridade"/>
    <x:tableColumn id="5" name="Data limite"/>
    <x:tableColumn id="6" name="Obs"/>
  </x:tableColumns>
  <x:tableStyleInfo name="TableStyleMedium2" showRowStripes="1"/>
</x:table>
</file>

<file path=xl/tables/table4.xml><?xml version="1.0" encoding="utf-8"?>
<x:table xmlns:x="http://schemas.openxmlformats.org/spreadsheetml/2006/main" id="4" name="LinksTable" displayName="LinksTable" ref="A1:D12" headerRowCount="1">
  <x:tableColumns count="4">
    <x:tableColumn id="1" name="Categoria"/>
    <x:tableColumn id="2" name="Nome"/>
    <x:tableColumn id="3" name="URL"/>
    <x:tableColumn id="4" name="Us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8e7177f48945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c3ba0b296045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56f6f66c7c43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490237b483452c" /></Relationships>
</file>

<file path=xl/worksheets/sheet1.xml><?xml version="1.0" encoding="utf-8"?>
<x:worksheet xmlns:x="http://schemas.openxmlformats.org/spreadsheetml/2006/main">
  <x:sheetFormatPr defaultRowHeight="15"/>
  <x:cols>
    <x:col min="1" max="1" width="68.63999938964844" hidden="0" customWidth="1"/>
    <x:col min="2" max="2" width="21.670000076293945" hidden="0" customWidth="1"/>
    <x:col min="4" max="4" width="205.25" hidden="0" customWidth="1"/>
    <x:col min="5" max="5" width="205.25" hidden="0" customWidth="1"/>
    <x:col min="6" max="6" width="205.25" hidden="0" customWidth="1"/>
    <x:col min="7" max="7" width="205.25" hidden="0" customWidth="1"/>
    <x:col min="8" max="8" width="205.25" hidden="0" customWidth="1"/>
  </x:cols>
  <x:sheetData>
    <x:row r="1">
      <x:c r="A1" s="13" t="str">
        <x:v>Painel Vivo da Viagem — Playa del Carmen / Cancún 2026</x:v>
      </x:c>
    </x:row>
    <x:row r="3">
      <x:c r="A3" s="17" t="str">
        <x:v>Viagem</x:v>
      </x:c>
      <x:c r="B3" t="str">
        <x:v>06/06/2026 → 16/06/2026</x:v>
      </x:c>
      <x:c r="D3" s="3" t="str">
        <x:v>Como usar</x:v>
      </x:c>
    </x:row>
    <x:row r="4">
      <x:c r="A4" s="17" t="str">
        <x:v>Base Playa</x:v>
      </x:c>
      <x:c r="B4" t="str">
        <x:v>06/06 → 11/06</x:v>
      </x:c>
      <x:c r="D4" s="20" t="str">
        <x:v>Use este arquivo como painel vivo: atualize Custos, Reservas e Checklist. Para tempo real, importe no Google Sheets, publique na web e substitua o iframe do HTML pelo link publicado.</x:v>
      </x:c>
      <x:c r="E4" s="20"/>
      <x:c r="F4" s="20"/>
      <x:c r="G4" s="20"/>
      <x:c r="H4" s="20"/>
    </x:row>
    <x:row r="5">
      <x:c r="A5" s="17" t="str">
        <x:v>Base Cancún</x:v>
      </x:c>
      <x:c r="B5" t="str">
        <x:v>11/06 → 16/06</x:v>
      </x:c>
      <x:c r="D5" s="20"/>
      <x:c r="E5" s="20"/>
      <x:c r="F5" s="20"/>
      <x:c r="G5" s="20"/>
      <x:c r="H5" s="20"/>
    </x:row>
    <x:row r="6">
      <x:c r="A6" s="17" t="str">
        <x:v>Total previsto mín.</x:v>
      </x:c>
      <x:c r="B6" s="6" t="n">
        <x:f>Custos!C17</x:f>
        <x:v>15320</x:v>
      </x:c>
      <x:c r="D6" s="20"/>
      <x:c r="E6" s="20"/>
      <x:c r="F6" s="20"/>
      <x:c r="G6" s="20"/>
      <x:c r="H6" s="20"/>
    </x:row>
    <x:row r="7">
      <x:c r="A7" s="17" t="str">
        <x:v>Total previsto máx.</x:v>
      </x:c>
      <x:c r="B7" s="6" t="n">
        <x:f>Custos!D17</x:f>
        <x:v>25930</x:v>
      </x:c>
      <x:c r="D7" s="20"/>
      <x:c r="E7" s="20"/>
      <x:c r="F7" s="20"/>
      <x:c r="G7" s="20"/>
      <x:c r="H7" s="20"/>
    </x:row>
    <x:row r="8">
      <x:c r="A8" s="17" t="str">
        <x:v>Total real</x:v>
      </x:c>
      <x:c r="B8" s="6" t="n">
        <x:f>Custos!E17</x:f>
        <x:v>0</x:v>
      </x:c>
      <x:c r="D8" s="20"/>
      <x:c r="E8" s="20"/>
      <x:c r="F8" s="20"/>
      <x:c r="G8" s="20"/>
      <x:c r="H8" s="20"/>
    </x:row>
    <x:row r="9">
      <x:c r="A9" s="17" t="str">
        <x:v>Checklist feito</x:v>
      </x:c>
      <x:c r="B9" t="str">
        <x:f>COUNTIF(Checklist!C2:C13,"Feito")&amp;"/"&amp;COUNTA(Checklist!C2:C13)</x:f>
        <x:v>0/12</x:v>
      </x:c>
      <x:c r="D9" s="20"/>
      <x:c r="E9" s="20"/>
      <x:c r="F9" s="20"/>
      <x:c r="G9" s="20"/>
      <x:c r="H9" s="20"/>
    </x:row>
    <x:row r="10">
      <x:c r="D10" s="20"/>
      <x:c r="E10" s="20"/>
      <x:c r="F10" s="20"/>
      <x:c r="G10" s="20"/>
      <x:c r="H10" s="20"/>
    </x:row>
  </x:sheetData>
  <x:mergeCells>
    <x:mergeCell ref="A1:H1"/>
    <x:mergeCell ref="D3:H3"/>
    <x:mergeCell ref="D4:H10"/>
    <x:mergeCell ref="D4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22.34000015258789" hidden="0" customWidth="1"/>
    <x:col min="3" max="3" width="10.630000114440918" hidden="0" customWidth="1"/>
    <x:col min="4" max="4" width="11.039999961853027" hidden="0" customWidth="1"/>
    <x:col min="5" max="5" width="3.5" hidden="0" customWidth="1"/>
    <x:col min="6" max="6" width="7.539999961853027" hidden="0" customWidth="1"/>
    <x:col min="7" max="7" width="29.06999969482422" hidden="0" customWidth="1"/>
  </x:cols>
  <x:sheetData>
    <x:row r="1">
      <x:c r="A1" s="3" t="str">
        <x:v>Categoria</x:v>
      </x:c>
      <x:c r="B1" s="3" t="str">
        <x:v>Item</x:v>
      </x:c>
      <x:c r="C1" s="3" t="str">
        <x:v>Previsto mín.</x:v>
      </x:c>
      <x:c r="D1" s="3" t="str">
        <x:v>Previsto máx.</x:v>
      </x:c>
      <x:c r="E1" s="3" t="str">
        <x:v>Real</x:v>
      </x:c>
      <x:c r="F1" s="3" t="str">
        <x:v>Status</x:v>
      </x:c>
      <x:c r="G1" s="3" t="str">
        <x:v>Obs</x:v>
      </x:c>
    </x:row>
    <x:row r="2">
      <x:c r="A2" t="str">
        <x:v>Voos</x:v>
      </x:c>
      <x:c r="B2" t="str">
        <x:v>GRU → CUN via Panamá</x:v>
      </x:c>
      <x:c r="C2" s="6" t="n">
        <x:v>3500</x:v>
      </x:c>
      <x:c r="D2" s="6" t="n">
        <x:v>4000</x:v>
      </x:c>
      <x:c r="E2" s="6" t="str"/>
      <x:c r="F2" t="str">
        <x:v>Pendente</x:v>
      </x:c>
      <x:c r="G2" t="str">
        <x:v>Com bagagem despachada</x:v>
      </x:c>
    </x:row>
    <x:row r="3">
      <x:c r="A3" t="str">
        <x:v>Hotel</x:v>
      </x:c>
      <x:c r="B3" t="str">
        <x:v>Playa del Carmen 06–11/06</x:v>
      </x:c>
      <x:c r="C3" s="6" t="n">
        <x:v>3500</x:v>
      </x:c>
      <x:c r="D3" s="6" t="n">
        <x:v>6000</x:v>
      </x:c>
      <x:c r="E3" s="6" t="str"/>
      <x:c r="F3" t="str">
        <x:v>Pendente</x:v>
      </x:c>
      <x:c r="G3" t="str">
        <x:v>5 noites</x:v>
      </x:c>
    </x:row>
    <x:row r="4">
      <x:c r="A4" t="str">
        <x:v>Hotel</x:v>
      </x:c>
      <x:c r="B4" t="str">
        <x:v>Cancún 11–16/06</x:v>
      </x:c>
      <x:c r="C4" s="6" t="n">
        <x:v>2100</x:v>
      </x:c>
      <x:c r="D4" s="6" t="n">
        <x:v>3200</x:v>
      </x:c>
      <x:c r="E4" s="6" t="str"/>
      <x:c r="F4" t="str">
        <x:v>Pendente</x:v>
      </x:c>
      <x:c r="G4" t="str">
        <x:v>5 noites; valores atualizados Decolar</x:v>
      </x:c>
    </x:row>
    <x:row r="5">
      <x:c r="A5" t="str">
        <x:v>Passeio</x:v>
      </x:c>
      <x:c r="B5" t="str">
        <x:v>Xcaret</x:v>
      </x:c>
      <x:c r="C5" s="6" t="n">
        <x:v>600</x:v>
      </x:c>
      <x:c r="D5" s="6" t="n">
        <x:v>950</x:v>
      </x:c>
      <x:c r="E5" s="6" t="str"/>
      <x:c r="F5" t="str">
        <x:v>Pendente</x:v>
      </x:c>
      <x:c r="G5" t="str"/>
    </x:row>
    <x:row r="6">
      <x:c r="A6" t="str">
        <x:v>Passeio</x:v>
      </x:c>
      <x:c r="B6" t="str">
        <x:v>Cozumel + snorkel</x:v>
      </x:c>
      <x:c r="C6" s="6" t="n">
        <x:v>700</x:v>
      </x:c>
      <x:c r="D6" s="6" t="n">
        <x:v>1200</x:v>
      </x:c>
      <x:c r="E6" s="6" t="str"/>
      <x:c r="F6" t="str">
        <x:v>Pendente</x:v>
      </x:c>
      <x:c r="G6" t="str"/>
    </x:row>
    <x:row r="7">
      <x:c r="A7" t="str">
        <x:v>Passeio</x:v>
      </x:c>
      <x:c r="B7" t="str">
        <x:v>Catamarã Isla Mujeres</x:v>
      </x:c>
      <x:c r="C7" s="6" t="n">
        <x:v>300</x:v>
      </x:c>
      <x:c r="D7" s="6" t="n">
        <x:v>680</x:v>
      </x:c>
      <x:c r="E7" s="6" t="str"/>
      <x:c r="F7" t="str">
        <x:v>Pendente</x:v>
      </x:c>
      <x:c r="G7" t="str">
        <x:v>Básico/open bar</x:v>
      </x:c>
    </x:row>
    <x:row r="8">
      <x:c r="A8" t="str">
        <x:v>Passeio</x:v>
      </x:c>
      <x:c r="B8" t="str">
        <x:v>Ferry Isla Mujeres</x:v>
      </x:c>
      <x:c r="C8" s="6" t="n">
        <x:v>80</x:v>
      </x:c>
      <x:c r="D8" s="6" t="n">
        <x:v>160</x:v>
      </x:c>
      <x:c r="E8" s="6" t="str"/>
      <x:c r="F8" t="str">
        <x:v>Pendente</x:v>
      </x:c>
      <x:c r="G8" t="str"/>
    </x:row>
    <x:row r="9">
      <x:c r="A9" t="str">
        <x:v>Passeio</x:v>
      </x:c>
      <x:c r="B9" t="str">
        <x:v>Lancha transparente</x:v>
      </x:c>
      <x:c r="C9" s="6" t="n">
        <x:v>140</x:v>
      </x:c>
      <x:c r="D9" s="6" t="n">
        <x:v>260</x:v>
      </x:c>
      <x:c r="E9" s="6" t="str"/>
      <x:c r="F9" t="str">
        <x:v>Opcional</x:v>
      </x:c>
      <x:c r="G9" t="str"/>
    </x:row>
    <x:row r="10">
      <x:c r="A10" t="str">
        <x:v>Passeio</x:v>
      </x:c>
      <x:c r="B10" t="str">
        <x:v>Coco Bongo</x:v>
      </x:c>
      <x:c r="C10" s="6" t="n">
        <x:v>400</x:v>
      </x:c>
      <x:c r="D10" s="6" t="n">
        <x:v>680</x:v>
      </x:c>
      <x:c r="E10" s="6" t="str"/>
      <x:c r="F10" t="str">
        <x:v>Opcional</x:v>
      </x:c>
      <x:c r="G10" t="str"/>
    </x:row>
    <x:row r="11">
      <x:c r="A11" t="str">
        <x:v>Compras</x:v>
      </x:c>
      <x:c r="B11" t="str">
        <x:v>Walmart / snacks / farmácia</x:v>
      </x:c>
      <x:c r="C11" s="6" t="n">
        <x:v>800</x:v>
      </x:c>
      <x:c r="D11" s="6" t="n">
        <x:v>1800</x:v>
      </x:c>
      <x:c r="E11" s="6" t="str"/>
      <x:c r="F11" t="str">
        <x:v>Pendente</x:v>
      </x:c>
      <x:c r="G11" t="str"/>
    </x:row>
    <x:row r="12">
      <x:c r="A12" t="str">
        <x:v>Alimentação</x:v>
      </x:c>
      <x:c r="B12" t="str">
        <x:v>Restaurantes e lanches</x:v>
      </x:c>
      <x:c r="C12" s="6" t="n">
        <x:v>1500</x:v>
      </x:c>
      <x:c r="D12" s="6" t="n">
        <x:v>3000</x:v>
      </x:c>
      <x:c r="E12" s="6" t="str"/>
      <x:c r="F12" t="str">
        <x:v>Pendente</x:v>
      </x:c>
      <x:c r="G12" t="str"/>
    </x:row>
    <x:row r="13">
      <x:c r="A13" t="str">
        <x:v>Transporte</x:v>
      </x:c>
      <x:c r="B13" t="str">
        <x:v>Uber/ADO/transfer</x:v>
      </x:c>
      <x:c r="C13" s="6" t="n">
        <x:v>700</x:v>
      </x:c>
      <x:c r="D13" s="6" t="n">
        <x:v>1500</x:v>
      </x:c>
      <x:c r="E13" s="6" t="str"/>
      <x:c r="F13" t="str">
        <x:v>Pendente</x:v>
      </x:c>
      <x:c r="G13" t="str"/>
    </x:row>
    <x:row r="14">
      <x:c r="A14" t="str">
        <x:v>Reserva</x:v>
      </x:c>
      <x:c r="B14" t="str">
        <x:v>Margem / emergência</x:v>
      </x:c>
      <x:c r="C14" s="6" t="n">
        <x:v>1000</x:v>
      </x:c>
      <x:c r="D14" s="6" t="n">
        <x:v>2500</x:v>
      </x:c>
      <x:c r="E14" s="6" t="str"/>
      <x:c r="F14" t="str">
        <x:v>Pendente</x:v>
      </x:c>
      <x:c r="G14" t="str"/>
    </x:row>
    <x:row r="15">
      <x:c r="C15" s="6"/>
      <x:c r="D15" s="6"/>
      <x:c r="E15" s="6"/>
    </x:row>
    <x:row r="16">
      <x:c r="B16" s="3" t="str">
        <x:v>Resumo</x:v>
      </x:c>
      <x:c r="C16" s="9" t="str">
        <x:v>Mínimo</x:v>
      </x:c>
      <x:c r="D16" s="9" t="str">
        <x:v>Máximo</x:v>
      </x:c>
      <x:c r="E16" s="9" t="str">
        <x:v>Real</x:v>
      </x:c>
    </x:row>
    <x:row r="17">
      <x:c r="B17" t="str">
        <x:v>Total geral</x:v>
      </x:c>
      <x:c r="C17" s="6" t="n">
        <x:f>SUM(C2:C14)</x:f>
        <x:v>15320</x:v>
      </x:c>
      <x:c r="D17" s="6" t="n">
        <x:f>SUM(D2:D14)</x:f>
        <x:v>25930</x:v>
      </x:c>
      <x:c r="E17" s="6" t="n">
        <x:f>SUM(E2:E14)</x:f>
        <x:v>0</x:v>
      </x:c>
    </x:row>
    <x:row r="18">
      <x:c r="B18" t="str">
        <x:v>Total por pessoa</x:v>
      </x:c>
      <x:c r="C18" s="6" t="n">
        <x:f>C17/2</x:f>
        <x:v>7660</x:v>
      </x:c>
      <x:c r="D18" s="6" t="n">
        <x:f>D17/2</x:f>
        <x:v>12965</x:v>
      </x:c>
      <x:c r="E18" s="6" t="n">
        <x:f>E17/2</x:f>
        <x:v>0</x:v>
      </x:c>
    </x:row>
    <x:row r="19">
      <x:c r="B19" t="str">
        <x:v>Saldo vs máximo</x:v>
      </x:c>
      <x:c r="C19" s="6"/>
      <x:c r="D19" s="6"/>
      <x:c r="E19" s="6" t="n">
        <x:f>D17-E17</x:f>
        <x:v>25930</x:v>
      </x:c>
    </x:row>
    <x:row r="20">
      <x:c r="C20" s="6"/>
      <x:c r="D20" s="6"/>
      <x:c r="E20" s="6"/>
    </x:row>
    <x:row r="21">
      <x:c r="C21" s="6"/>
      <x:c r="D21" s="6"/>
      <x:c r="E21" s="6"/>
    </x:row>
    <x:row r="22">
      <x:c r="C22" s="6"/>
      <x:c r="D22" s="6"/>
      <x:c r="E22" s="6"/>
    </x:row>
    <x:row r="23">
      <x:c r="C23" s="6"/>
      <x:c r="D23" s="6"/>
      <x:c r="E23" s="6"/>
    </x:row>
    <x:row r="24">
      <x:c r="C24" s="6"/>
      <x:c r="D24" s="6"/>
      <x:c r="E24" s="6"/>
    </x:row>
    <x:row r="25">
      <x:c r="C25" s="6"/>
      <x:c r="D25" s="6"/>
      <x:c r="E25" s="6"/>
    </x:row>
    <x:row r="26">
      <x:c r="C26" s="6"/>
      <x:c r="D26" s="6"/>
      <x:c r="E26" s="6"/>
    </x:row>
    <x:row r="27">
      <x:c r="C27" s="6"/>
      <x:c r="D27" s="6"/>
      <x:c r="E27" s="6"/>
    </x:row>
    <x:row r="28">
      <x:c r="C28" s="6"/>
      <x:c r="D28" s="6"/>
      <x:c r="E28" s="6"/>
    </x:row>
    <x:row r="29">
      <x:c r="C29" s="6"/>
      <x:c r="D29" s="6"/>
      <x:c r="E29" s="6"/>
    </x:row>
    <x:row r="30">
      <x:c r="C30" s="6"/>
      <x:c r="D30" s="6"/>
      <x:c r="E30" s="6"/>
    </x:row>
    <x:row r="31">
      <x:c r="C31" s="6"/>
      <x:c r="D31" s="6"/>
      <x:c r="E31" s="6"/>
    </x:row>
    <x:row r="32">
      <x:c r="C32" s="6"/>
      <x:c r="D32" s="6"/>
      <x:c r="E32" s="6"/>
    </x:row>
    <x:row r="33">
      <x:c r="C33" s="6"/>
      <x:c r="D33" s="6"/>
      <x:c r="E33" s="6"/>
    </x:row>
    <x:row r="34">
      <x:c r="C34" s="6"/>
      <x:c r="D34" s="6"/>
      <x:c r="E34" s="6"/>
    </x:row>
    <x:row r="35">
      <x:c r="C35" s="6"/>
      <x:c r="D35" s="6"/>
      <x:c r="E35" s="6"/>
    </x:row>
    <x:row r="36">
      <x:c r="C36" s="6"/>
      <x:c r="D36" s="6"/>
      <x:c r="E36" s="6"/>
    </x:row>
    <x:row r="37">
      <x:c r="C37" s="6"/>
      <x:c r="D37" s="6"/>
      <x:c r="E37" s="6"/>
    </x:row>
    <x:row r="38">
      <x:c r="C38" s="6"/>
      <x:c r="D38" s="6"/>
      <x:c r="E38" s="6"/>
    </x:row>
    <x:row r="39">
      <x:c r="C39" s="6"/>
      <x:c r="D39" s="6"/>
      <x:c r="E39" s="6"/>
    </x:row>
    <x:row r="40">
      <x:c r="C40" s="6"/>
      <x:c r="D40" s="6"/>
      <x:c r="E40" s="6"/>
    </x:row>
    <x:row r="41">
      <x:c r="C41" s="6"/>
      <x:c r="D41" s="6"/>
      <x:c r="E41" s="6"/>
    </x:row>
    <x:row r="42">
      <x:c r="C42" s="6"/>
      <x:c r="D42" s="6"/>
      <x:c r="E42" s="6"/>
    </x:row>
    <x:row r="43">
      <x:c r="C43" s="6"/>
      <x:c r="D43" s="6"/>
      <x:c r="E43" s="6"/>
    </x:row>
    <x:row r="44">
      <x:c r="C44" s="6"/>
      <x:c r="D44" s="6"/>
      <x:c r="E44" s="6"/>
    </x:row>
    <x:row r="45">
      <x:c r="C45" s="6"/>
      <x:c r="D45" s="6"/>
      <x:c r="E45" s="6"/>
    </x:row>
    <x:row r="46">
      <x:c r="C46" s="6"/>
      <x:c r="D46" s="6"/>
      <x:c r="E46" s="6"/>
    </x:row>
    <x:row r="47">
      <x:c r="C47" s="6"/>
      <x:c r="D47" s="6"/>
      <x:c r="E47" s="6"/>
    </x:row>
    <x:row r="48">
      <x:c r="C48" s="6"/>
      <x:c r="D48" s="6"/>
      <x:c r="E48" s="6"/>
    </x:row>
    <x:row r="49">
      <x:c r="C49" s="6"/>
      <x:c r="D49" s="6"/>
      <x:c r="E49" s="6"/>
    </x:row>
    <x:row r="50">
      <x:c r="C50" s="6"/>
      <x:c r="D50" s="6"/>
      <x:c r="E50" s="6"/>
    </x:row>
    <x:row r="51">
      <x:c r="C51" s="6"/>
      <x:c r="D51" s="6"/>
      <x:c r="E51" s="6"/>
    </x:row>
    <x:row r="52">
      <x:c r="C52" s="6"/>
      <x:c r="D52" s="6"/>
      <x:c r="E52" s="6"/>
    </x:row>
    <x:row r="53">
      <x:c r="C53" s="6"/>
      <x:c r="D53" s="6"/>
      <x:c r="E53" s="6"/>
    </x:row>
    <x:row r="54">
      <x:c r="C54" s="6"/>
      <x:c r="D54" s="6"/>
      <x:c r="E54" s="6"/>
    </x:row>
    <x:row r="55">
      <x:c r="C55" s="6"/>
      <x:c r="D55" s="6"/>
      <x:c r="E55" s="6"/>
    </x:row>
    <x:row r="56">
      <x:c r="C56" s="6"/>
      <x:c r="D56" s="6"/>
      <x:c r="E56" s="6"/>
    </x:row>
    <x:row r="57">
      <x:c r="C57" s="6"/>
      <x:c r="D57" s="6"/>
      <x:c r="E57" s="6"/>
    </x:row>
    <x:row r="58">
      <x:c r="C58" s="6"/>
      <x:c r="D58" s="6"/>
      <x:c r="E58" s="6"/>
    </x:row>
    <x:row r="59">
      <x:c r="C59" s="6"/>
      <x:c r="D59" s="6"/>
      <x:c r="E59" s="6"/>
    </x:row>
    <x:row r="60">
      <x:c r="C60" s="6"/>
      <x:c r="D60" s="6"/>
      <x:c r="E60" s="6"/>
    </x:row>
    <x:row r="61">
      <x:c r="C61" s="6"/>
      <x:c r="D61" s="6"/>
      <x:c r="E61" s="6"/>
    </x:row>
    <x:row r="62">
      <x:c r="C62" s="6"/>
      <x:c r="D62" s="6"/>
      <x:c r="E62" s="6"/>
    </x:row>
    <x:row r="63">
      <x:c r="C63" s="6"/>
      <x:c r="D63" s="6"/>
      <x:c r="E63" s="6"/>
    </x:row>
    <x:row r="64">
      <x:c r="C64" s="6"/>
      <x:c r="D64" s="6"/>
      <x:c r="E64" s="6"/>
    </x:row>
    <x:row r="65">
      <x:c r="C65" s="6"/>
      <x:c r="D65" s="6"/>
      <x:c r="E65" s="6"/>
    </x:row>
    <x:row r="66">
      <x:c r="C66" s="6"/>
      <x:c r="D66" s="6"/>
      <x:c r="E66" s="6"/>
    </x:row>
    <x:row r="67">
      <x:c r="C67" s="6"/>
      <x:c r="D67" s="6"/>
      <x:c r="E67" s="6"/>
    </x:row>
    <x:row r="68">
      <x:c r="C68" s="6"/>
      <x:c r="D68" s="6"/>
      <x:c r="E68" s="6"/>
    </x:row>
    <x:row r="69">
      <x:c r="C69" s="6"/>
      <x:c r="D69" s="6"/>
      <x:c r="E69" s="6"/>
    </x:row>
    <x:row r="70">
      <x:c r="C70" s="6"/>
      <x:c r="D70" s="6"/>
      <x:c r="E70" s="6"/>
    </x:row>
    <x:row r="71">
      <x:c r="C71" s="6"/>
      <x:c r="D71" s="6"/>
      <x:c r="E71" s="6"/>
    </x:row>
    <x:row r="72">
      <x:c r="C72" s="6"/>
      <x:c r="D72" s="6"/>
      <x:c r="E72" s="6"/>
    </x:row>
    <x:row r="73">
      <x:c r="C73" s="6"/>
      <x:c r="D73" s="6"/>
      <x:c r="E73" s="6"/>
    </x:row>
    <x:row r="74">
      <x:c r="C74" s="6"/>
      <x:c r="D74" s="6"/>
      <x:c r="E74" s="6"/>
    </x:row>
    <x:row r="75">
      <x:c r="C75" s="6"/>
      <x:c r="D75" s="6"/>
      <x:c r="E75" s="6"/>
    </x:row>
    <x:row r="76">
      <x:c r="C76" s="6"/>
      <x:c r="D76" s="6"/>
      <x:c r="E76" s="6"/>
    </x:row>
    <x:row r="77">
      <x:c r="C77" s="6"/>
      <x:c r="D77" s="6"/>
      <x:c r="E77" s="6"/>
    </x:row>
    <x:row r="78">
      <x:c r="C78" s="6"/>
      <x:c r="D78" s="6"/>
      <x:c r="E78" s="6"/>
    </x:row>
    <x:row r="79">
      <x:c r="C79" s="6"/>
      <x:c r="D79" s="6"/>
      <x:c r="E79" s="6"/>
    </x:row>
    <x:row r="80">
      <x:c r="C80" s="6"/>
      <x:c r="D80" s="6"/>
      <x:c r="E80" s="6"/>
    </x:row>
    <x:row r="81">
      <x:c r="C81" s="6"/>
      <x:c r="D81" s="6"/>
      <x:c r="E81" s="6"/>
    </x:row>
    <x:row r="82">
      <x:c r="C82" s="6"/>
      <x:c r="D82" s="6"/>
      <x:c r="E82" s="6"/>
    </x:row>
    <x:row r="83">
      <x:c r="C83" s="6"/>
      <x:c r="D83" s="6"/>
      <x:c r="E83" s="6"/>
    </x:row>
    <x:row r="84">
      <x:c r="C84" s="6"/>
      <x:c r="D84" s="6"/>
      <x:c r="E84" s="6"/>
    </x:row>
    <x:row r="85">
      <x:c r="C85" s="6"/>
      <x:c r="D85" s="6"/>
      <x:c r="E85" s="6"/>
    </x:row>
    <x:row r="86">
      <x:c r="C86" s="6"/>
      <x:c r="D86" s="6"/>
      <x:c r="E86" s="6"/>
    </x:row>
    <x:row r="87">
      <x:c r="C87" s="6"/>
      <x:c r="D87" s="6"/>
      <x:c r="E87" s="6"/>
    </x:row>
    <x:row r="88">
      <x:c r="C88" s="6"/>
      <x:c r="D88" s="6"/>
      <x:c r="E88" s="6"/>
    </x:row>
    <x:row r="89">
      <x:c r="C89" s="6"/>
      <x:c r="D89" s="6"/>
      <x:c r="E89" s="6"/>
    </x:row>
    <x:row r="90">
      <x:c r="C90" s="6"/>
      <x:c r="D90" s="6"/>
      <x:c r="E90" s="6"/>
    </x:row>
    <x:row r="91">
      <x:c r="C91" s="6"/>
      <x:c r="D91" s="6"/>
      <x:c r="E91" s="6"/>
    </x:row>
    <x:row r="92">
      <x:c r="C92" s="6"/>
      <x:c r="D92" s="6"/>
      <x:c r="E92" s="6"/>
    </x:row>
    <x:row r="93">
      <x:c r="C93" s="6"/>
      <x:c r="D93" s="6"/>
      <x:c r="E93" s="6"/>
    </x:row>
    <x:row r="94">
      <x:c r="C94" s="6"/>
      <x:c r="D94" s="6"/>
      <x:c r="E94" s="6"/>
    </x:row>
    <x:row r="95">
      <x:c r="C95" s="6"/>
      <x:c r="D95" s="6"/>
      <x:c r="E95" s="6"/>
    </x:row>
    <x:row r="96">
      <x:c r="C96" s="6"/>
      <x:c r="D96" s="6"/>
      <x:c r="E96" s="6"/>
    </x:row>
    <x:row r="97">
      <x:c r="C97" s="6"/>
      <x:c r="D97" s="6"/>
      <x:c r="E97" s="6"/>
    </x:row>
    <x:row r="98">
      <x:c r="C98" s="6"/>
      <x:c r="D98" s="6"/>
      <x:c r="E98" s="6"/>
    </x:row>
    <x:row r="99">
      <x:c r="C99" s="6"/>
      <x:c r="D99" s="6"/>
      <x:c r="E99" s="6"/>
    </x:row>
    <x:row r="100">
      <x:c r="C100" s="6"/>
      <x:c r="D100" s="6"/>
      <x:c r="E100" s="6"/>
    </x:row>
  </x:sheetData>
  <x:dataValidations count="1">
    <x:dataValidation type="list" sqref="F2:F100">
      <x:formula1>"Pendente,Reservado,Pago,Opcional,Cancelado"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8e7177f48945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.56999969482422" hidden="0" customWidth="1"/>
    <x:col min="2" max="2" width="9.420000076293945" hidden="0" customWidth="1"/>
    <x:col min="3" max="3" width="9.6899995803833" hidden="0" customWidth="1"/>
    <x:col min="4" max="4" width="4.170000076293945" hidden="0" customWidth="1"/>
    <x:col min="5" max="5" width="59.4900016784668" hidden="0" customWidth="1"/>
    <x:col min="6" max="6" width="29.06999969482422" hidden="0" customWidth="1"/>
  </x:cols>
  <x:sheetData>
    <x:row r="1">
      <x:c r="A1" s="3" t="str">
        <x:v>Reserva</x:v>
      </x:c>
      <x:c r="B1" s="3" t="str">
        <x:v>Data</x:v>
      </x:c>
      <x:c r="C1" s="3" t="str">
        <x:v>Status</x:v>
      </x:c>
      <x:c r="D1" s="3" t="str">
        <x:v>Valor</x:v>
      </x:c>
      <x:c r="E1" s="3" t="str">
        <x:v>Link/Comprovante</x:v>
      </x:c>
      <x:c r="F1" s="3" t="str">
        <x:v>Observação</x:v>
      </x:c>
    </x:row>
    <x:row r="2">
      <x:c r="A2" t="str">
        <x:v>Voo GRU-CUN</x:v>
      </x:c>
      <x:c r="B2" t="str">
        <x:v>06/06/2026</x:v>
      </x:c>
      <x:c r="C2" t="str">
        <x:v>Pendente</x:v>
      </x:c>
      <x:c r="D2" s="6" t="str"/>
      <x:c r="E2" t="str"/>
      <x:c r="F2" t="str">
        <x:v>Copa via Panamá</x:v>
      </x:c>
    </x:row>
    <x:row r="3">
      <x:c r="A3" t="str">
        <x:v>Hotel Playa del Carmen</x:v>
      </x:c>
      <x:c r="B3" t="str">
        <x:v>06–11/06</x:v>
      </x:c>
      <x:c r="C3" t="str">
        <x:v>Pendente</x:v>
      </x:c>
      <x:c r="D3" s="6" t="str"/>
      <x:c r="E3" t="str"/>
      <x:c r="F3" t="str"/>
    </x:row>
    <x:row r="4">
      <x:c r="A4" t="str">
        <x:v>Hotel Cancún</x:v>
      </x:c>
      <x:c r="B4" t="str">
        <x:v>11–16/06</x:v>
      </x:c>
      <x:c r="C4" t="str">
        <x:v>Pendente</x:v>
      </x:c>
      <x:c r="D4" s="6" t="str"/>
      <x:c r="E4" t="str"/>
      <x:c r="F4" t="str">
        <x:v>Wyndham/Fairfield/Krystal/Emporio</x:v>
      </x:c>
    </x:row>
    <x:row r="5">
      <x:c r="A5" t="str">
        <x:v>Xcaret</x:v>
      </x:c>
      <x:c r="B5" t="str">
        <x:v>09/06/2026</x:v>
      </x:c>
      <x:c r="C5" t="str">
        <x:v>Pendente</x:v>
      </x:c>
      <x:c r="D5" s="6" t="str"/>
      <x:c r="E5" t="str">
        <x:v>https://www.xcaret.com/pt/</x:v>
      </x:c>
      <x:c r="F5" t="str"/>
    </x:row>
    <x:row r="6">
      <x:c r="A6" t="str">
        <x:v>Cozumel ferry/snorkel</x:v>
      </x:c>
      <x:c r="B6" t="str">
        <x:v>08/06/2026</x:v>
      </x:c>
      <x:c r="C6" t="str">
        <x:v>Pendente</x:v>
      </x:c>
      <x:c r="D6" s="6" t="str"/>
      <x:c r="E6" t="str">
        <x:v>https://www.ultramarferry.com/</x:v>
      </x:c>
      <x:c r="F6" t="str"/>
    </x:row>
    <x:row r="7">
      <x:c r="A7" t="str">
        <x:v>Isla Mujeres</x:v>
      </x:c>
      <x:c r="B7" t="str">
        <x:v>12/06/2026</x:v>
      </x:c>
      <x:c r="C7" t="str">
        <x:v>Pendente</x:v>
      </x:c>
      <x:c r="D7" s="6" t="str"/>
      <x:c r="E7" t="str">
        <x:v>https://www.ultramarferry.com/</x:v>
      </x:c>
      <x:c r="F7" t="str"/>
    </x:row>
    <x:row r="8">
      <x:c r="A8" t="str">
        <x:v>Catamarã Isla Mujeres</x:v>
      </x:c>
      <x:c r="B8" t="str">
        <x:v>13/06/2026</x:v>
      </x:c>
      <x:c r="C8" t="str">
        <x:v>Pendente</x:v>
      </x:c>
      <x:c r="D8" s="6" t="str"/>
      <x:c r="E8" t="str">
        <x:v>https://www.xcaret.com/en/xailing/catamaran-prime-tour/</x:v>
      </x:c>
      <x:c r="F8" t="str"/>
    </x:row>
    <x:row r="9">
      <x:c r="A9" t="str">
        <x:v>Lancha transparente</x:v>
      </x:c>
      <x:c r="B9" t="str">
        <x:v>14/06/2026</x:v>
      </x:c>
      <x:c r="C9" t="str">
        <x:v>Opcional</x:v>
      </x:c>
      <x:c r="D9" s="6" t="str"/>
      <x:c r="E9" t="str">
        <x:v>https://www.civitatis.com/br/cancun/passeio-barco-transparente-cancun/</x:v>
      </x:c>
      <x:c r="F9" t="str"/>
    </x:row>
    <x:row r="10">
      <x:c r="D10" s="6"/>
    </x:row>
    <x:row r="11">
      <x:c r="D11" s="6"/>
    </x:row>
    <x:row r="12">
      <x:c r="D12" s="6"/>
    </x:row>
    <x:row r="13">
      <x:c r="D13" s="6"/>
    </x:row>
    <x:row r="14">
      <x:c r="D14" s="6"/>
    </x:row>
    <x:row r="15">
      <x:c r="D15" s="6"/>
    </x:row>
    <x:row r="16">
      <x:c r="D16" s="6"/>
    </x:row>
    <x:row r="17">
      <x:c r="D17" s="6"/>
    </x:row>
    <x:row r="18">
      <x:c r="D18" s="6"/>
    </x:row>
    <x:row r="19">
      <x:c r="D19" s="6"/>
    </x:row>
    <x:row r="20">
      <x:c r="D20" s="6"/>
    </x:row>
    <x:row r="21">
      <x:c r="D21" s="6"/>
    </x:row>
    <x:row r="22">
      <x:c r="D22" s="6"/>
    </x:row>
    <x:row r="23">
      <x:c r="D23" s="6"/>
    </x:row>
    <x:row r="24">
      <x:c r="D24" s="6"/>
    </x:row>
    <x:row r="25">
      <x:c r="D25" s="6"/>
    </x:row>
    <x:row r="26">
      <x:c r="D26" s="6"/>
    </x:row>
    <x:row r="27">
      <x:c r="D27" s="6"/>
    </x:row>
    <x:row r="28">
      <x:c r="D28" s="6"/>
    </x:row>
    <x:row r="29">
      <x:c r="D29" s="6"/>
    </x:row>
    <x:row r="30">
      <x:c r="D30" s="6"/>
    </x:row>
    <x:row r="31">
      <x:c r="D31" s="6"/>
    </x:row>
    <x:row r="32">
      <x:c r="D32" s="6"/>
    </x:row>
    <x:row r="33">
      <x:c r="D33" s="6"/>
    </x:row>
    <x:row r="34">
      <x:c r="D34" s="6"/>
    </x:row>
    <x:row r="35">
      <x:c r="D35" s="6"/>
    </x:row>
    <x:row r="36">
      <x:c r="D36" s="6"/>
    </x:row>
    <x:row r="37">
      <x:c r="D37" s="6"/>
    </x:row>
    <x:row r="38">
      <x:c r="D38" s="6"/>
    </x:row>
    <x:row r="39">
      <x:c r="D39" s="6"/>
    </x:row>
    <x:row r="40">
      <x:c r="D40" s="6"/>
    </x:row>
    <x:row r="41">
      <x:c r="D41" s="6"/>
    </x:row>
    <x:row r="42">
      <x:c r="D42" s="6"/>
    </x:row>
    <x:row r="43">
      <x:c r="D43" s="6"/>
    </x:row>
    <x:row r="44">
      <x:c r="D44" s="6"/>
    </x:row>
    <x:row r="45">
      <x:c r="D45" s="6"/>
    </x:row>
    <x:row r="46">
      <x:c r="D46" s="6"/>
    </x:row>
    <x:row r="47">
      <x:c r="D47" s="6"/>
    </x:row>
    <x:row r="48">
      <x:c r="D48" s="6"/>
    </x:row>
    <x:row r="49">
      <x:c r="D49" s="6"/>
    </x:row>
    <x:row r="50">
      <x:c r="D50" s="6"/>
    </x:row>
    <x:row r="51">
      <x:c r="D51" s="6"/>
    </x:row>
    <x:row r="52">
      <x:c r="D52" s="6"/>
    </x:row>
    <x:row r="53">
      <x:c r="D53" s="6"/>
    </x:row>
    <x:row r="54">
      <x:c r="D54" s="6"/>
    </x:row>
    <x:row r="55">
      <x:c r="D55" s="6"/>
    </x:row>
    <x:row r="56">
      <x:c r="D56" s="6"/>
    </x:row>
    <x:row r="57">
      <x:c r="D57" s="6"/>
    </x:row>
    <x:row r="58">
      <x:c r="D58" s="6"/>
    </x:row>
    <x:row r="59">
      <x:c r="D59" s="6"/>
    </x:row>
    <x:row r="60">
      <x:c r="D60" s="6"/>
    </x:row>
    <x:row r="61">
      <x:c r="D61" s="6"/>
    </x:row>
    <x:row r="62">
      <x:c r="D62" s="6"/>
    </x:row>
    <x:row r="63">
      <x:c r="D63" s="6"/>
    </x:row>
    <x:row r="64">
      <x:c r="D64" s="6"/>
    </x:row>
    <x:row r="65">
      <x:c r="D65" s="6"/>
    </x:row>
    <x:row r="66">
      <x:c r="D66" s="6"/>
    </x:row>
    <x:row r="67">
      <x:c r="D67" s="6"/>
    </x:row>
    <x:row r="68">
      <x:c r="D68" s="6"/>
    </x:row>
    <x:row r="69">
      <x:c r="D69" s="6"/>
    </x:row>
    <x:row r="70">
      <x:c r="D70" s="6"/>
    </x:row>
    <x:row r="71">
      <x:c r="D71" s="6"/>
    </x:row>
    <x:row r="72">
      <x:c r="D72" s="6"/>
    </x:row>
    <x:row r="73">
      <x:c r="D73" s="6"/>
    </x:row>
    <x:row r="74">
      <x:c r="D74" s="6"/>
    </x:row>
    <x:row r="75">
      <x:c r="D75" s="6"/>
    </x:row>
    <x:row r="76">
      <x:c r="D76" s="6"/>
    </x:row>
    <x:row r="77">
      <x:c r="D77" s="6"/>
    </x:row>
    <x:row r="78">
      <x:c r="D78" s="6"/>
    </x:row>
    <x:row r="79">
      <x:c r="D79" s="6"/>
    </x:row>
    <x:row r="80">
      <x:c r="D80" s="6"/>
    </x:row>
    <x:row r="81">
      <x:c r="D81" s="6"/>
    </x:row>
    <x:row r="82">
      <x:c r="D82" s="6"/>
    </x:row>
    <x:row r="83">
      <x:c r="D83" s="6"/>
    </x:row>
    <x:row r="84">
      <x:c r="D84" s="6"/>
    </x:row>
    <x:row r="85">
      <x:c r="D85" s="6"/>
    </x:row>
    <x:row r="86">
      <x:c r="D86" s="6"/>
    </x:row>
    <x:row r="87">
      <x:c r="D87" s="6"/>
    </x:row>
    <x:row r="88">
      <x:c r="D88" s="6"/>
    </x:row>
    <x:row r="89">
      <x:c r="D89" s="6"/>
    </x:row>
    <x:row r="90">
      <x:c r="D90" s="6"/>
    </x:row>
    <x:row r="91">
      <x:c r="D91" s="6"/>
    </x:row>
    <x:row r="92">
      <x:c r="D92" s="6"/>
    </x:row>
    <x:row r="93">
      <x:c r="D93" s="6"/>
    </x:row>
    <x:row r="94">
      <x:c r="D94" s="6"/>
    </x:row>
    <x:row r="95">
      <x:c r="D95" s="6"/>
    </x:row>
    <x:row r="96">
      <x:c r="D96" s="6"/>
    </x:row>
    <x:row r="97">
      <x:c r="D97" s="6"/>
    </x:row>
    <x:row r="98">
      <x:c r="D98" s="6"/>
    </x:row>
    <x:row r="99">
      <x:c r="D99" s="6"/>
    </x:row>
    <x:row r="100">
      <x:c r="D100" s="6"/>
    </x:row>
  </x:sheetData>
  <x:dataValidations count="1">
    <x:dataValidation type="list" sqref="C2:C100">
      <x:formula1>"Pendente,Reservado,Pago,Opcional,Cancelado"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c3ba0b296045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31.219999313354492" hidden="0" customWidth="1"/>
    <x:col min="3" max="3" width="9.6899995803833" hidden="0" customWidth="1"/>
    <x:col min="4" max="4" width="8.479999542236328" hidden="0" customWidth="1"/>
    <x:col min="5" max="5" width="8.880000114440918" hidden="0" customWidth="1"/>
    <x:col min="6" max="6" width="11.84000015258789" hidden="0" customWidth="1"/>
  </x:cols>
  <x:sheetData>
    <x:row r="1">
      <x:c r="A1" s="3" t="str">
        <x:v>Categoria</x:v>
      </x:c>
      <x:c r="B1" s="3" t="str">
        <x:v>Item</x:v>
      </x:c>
      <x:c r="C1" s="3" t="str">
        <x:v>Status</x:v>
      </x:c>
      <x:c r="D1" s="3" t="str">
        <x:v>Prioridade</x:v>
      </x:c>
      <x:c r="E1" s="3" t="str">
        <x:v>Data limite</x:v>
      </x:c>
      <x:c r="F1" s="3" t="str">
        <x:v>Obs</x:v>
      </x:c>
    </x:row>
    <x:row r="2">
      <x:c r="A2" t="str">
        <x:v>Documentos</x:v>
      </x:c>
      <x:c r="B2" t="str">
        <x:v>Passaporte válido</x:v>
      </x:c>
      <x:c r="C2" t="str">
        <x:v>Pendente</x:v>
      </x:c>
      <x:c r="D2" t="str">
        <x:v>Alta</x:v>
      </x:c>
      <x:c r="E2" t="str"/>
      <x:c r="F2" t="str"/>
    </x:row>
    <x:row r="3">
      <x:c r="A3" t="str">
        <x:v>Documentos</x:v>
      </x:c>
      <x:c r="B3" t="str">
        <x:v>Confirmar entrada México / visto EUA</x:v>
      </x:c>
      <x:c r="C3" t="str">
        <x:v>Pendente</x:v>
      </x:c>
      <x:c r="D3" t="str">
        <x:v>Alta</x:v>
      </x:c>
      <x:c r="E3" t="str"/>
      <x:c r="F3" t="str"/>
    </x:row>
    <x:row r="4">
      <x:c r="A4" t="str">
        <x:v>Financeiro</x:v>
      </x:c>
      <x:c r="B4" t="str">
        <x:v>Wise carregado</x:v>
      </x:c>
      <x:c r="C4" t="str">
        <x:v>Pendente</x:v>
      </x:c>
      <x:c r="D4" t="str">
        <x:v>Alta</x:v>
      </x:c>
      <x:c r="E4" t="str"/>
      <x:c r="F4" t="str">
        <x:v>BRL/USD/MXN</x:v>
      </x:c>
    </x:row>
    <x:row r="5">
      <x:c r="A5" t="str">
        <x:v>Financeiro</x:v>
      </x:c>
      <x:c r="B5" t="str">
        <x:v>Peso mexicano físico MXN 3.000–5.000</x:v>
      </x:c>
      <x:c r="C5" t="str">
        <x:v>Pendente</x:v>
      </x:c>
      <x:c r="D5" t="str">
        <x:v>Média</x:v>
      </x:c>
      <x:c r="E5" t="str"/>
      <x:c r="F5" t="str"/>
    </x:row>
    <x:row r="6">
      <x:c r="A6" t="str">
        <x:v>Reservas</x:v>
      </x:c>
      <x:c r="B6" t="str">
        <x:v>Hotel Playa fechado</x:v>
      </x:c>
      <x:c r="C6" t="str">
        <x:v>Pendente</x:v>
      </x:c>
      <x:c r="D6" t="str">
        <x:v>Alta</x:v>
      </x:c>
      <x:c r="E6" t="str"/>
      <x:c r="F6" t="str"/>
    </x:row>
    <x:row r="7">
      <x:c r="A7" t="str">
        <x:v>Reservas</x:v>
      </x:c>
      <x:c r="B7" t="str">
        <x:v>Hotel Cancún fechado</x:v>
      </x:c>
      <x:c r="C7" t="str">
        <x:v>Pendente</x:v>
      </x:c>
      <x:c r="D7" t="str">
        <x:v>Alta</x:v>
      </x:c>
      <x:c r="E7" t="str"/>
      <x:c r="F7" t="str"/>
    </x:row>
    <x:row r="8">
      <x:c r="A8" t="str">
        <x:v>Passeios</x:v>
      </x:c>
      <x:c r="B8" t="str">
        <x:v>Xcaret comprado</x:v>
      </x:c>
      <x:c r="C8" t="str">
        <x:v>Pendente</x:v>
      </x:c>
      <x:c r="D8" t="str">
        <x:v>Alta</x:v>
      </x:c>
      <x:c r="E8" t="str"/>
      <x:c r="F8" t="str"/>
    </x:row>
    <x:row r="9">
      <x:c r="A9" t="str">
        <x:v>Passeios</x:v>
      </x:c>
      <x:c r="B9" t="str">
        <x:v>Catamarã comprado</x:v>
      </x:c>
      <x:c r="C9" t="str">
        <x:v>Pendente</x:v>
      </x:c>
      <x:c r="D9" t="str">
        <x:v>Alta</x:v>
      </x:c>
      <x:c r="E9" t="str"/>
      <x:c r="F9" t="str"/>
    </x:row>
    <x:row r="10">
      <x:c r="A10" t="str">
        <x:v>Passeios</x:v>
      </x:c>
      <x:c r="B10" t="str">
        <x:v>Ferry Isla Mujeres / Cozumel validado</x:v>
      </x:c>
      <x:c r="C10" t="str">
        <x:v>Pendente</x:v>
      </x:c>
      <x:c r="D10" t="str">
        <x:v>Média</x:v>
      </x:c>
      <x:c r="E10" t="str"/>
      <x:c r="F10" t="str"/>
    </x:row>
    <x:row r="11">
      <x:c r="A11" t="str">
        <x:v>Operacional</x:v>
      </x:c>
      <x:c r="B11" t="str">
        <x:v>eSIM / internet</x:v>
      </x:c>
      <x:c r="C11" t="str">
        <x:v>Pendente</x:v>
      </x:c>
      <x:c r="D11" t="str">
        <x:v>Alta</x:v>
      </x:c>
      <x:c r="E11" t="str"/>
      <x:c r="F11" t="str"/>
    </x:row>
    <x:row r="12">
      <x:c r="A12" t="str">
        <x:v>Operacional</x:v>
      </x:c>
      <x:c r="B12" t="str">
        <x:v>Seguro viagem</x:v>
      </x:c>
      <x:c r="C12" t="str">
        <x:v>Pendente</x:v>
      </x:c>
      <x:c r="D12" t="str">
        <x:v>Alta</x:v>
      </x:c>
      <x:c r="E12" t="str"/>
      <x:c r="F12" t="str"/>
    </x:row>
    <x:row r="13">
      <x:c r="A13" t="str">
        <x:v>Operacional</x:v>
      </x:c>
      <x:c r="B13" t="str">
        <x:v>Google Maps offline</x:v>
      </x:c>
      <x:c r="C13" t="str">
        <x:v>Pendente</x:v>
      </x:c>
      <x:c r="D13" t="str">
        <x:v>Média</x:v>
      </x:c>
      <x:c r="E13" t="str"/>
      <x:c r="F13" t="str"/>
    </x:row>
  </x:sheetData>
  <x:dataValidations count="2">
    <x:dataValidation type="list" sqref="C2:C100">
      <x:formula1>"Pendente,Em andamento,Feito,Não vai fazer"</x:formula1>
    </x:dataValidation>
    <x:dataValidation type="list" sqref="D2:D100">
      <x:formula1>"Alta,Média,Baixa"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56f6f66c7c43e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30.149999618530273" hidden="0" customWidth="1"/>
    <x:col min="3" max="3" width="82.91000366210938" hidden="0" customWidth="1"/>
    <x:col min="4" max="4" width="22.75" hidden="0" customWidth="1"/>
  </x:cols>
  <x:sheetData>
    <x:row r="1">
      <x:c r="A1" s="3" t="str">
        <x:v>Categoria</x:v>
      </x:c>
      <x:c r="B1" s="3" t="str">
        <x:v>Nome</x:v>
      </x:c>
      <x:c r="C1" s="3" t="str">
        <x:v>URL</x:v>
      </x:c>
      <x:c r="D1" s="3" t="str">
        <x:v>Uso</x:v>
      </x:c>
    </x:row>
    <x:row r="2">
      <x:c r="A2" t="str">
        <x:v>Roteiro</x:v>
      </x:c>
      <x:c r="B2" t="str">
        <x:v>Google Flights</x:v>
      </x:c>
      <x:c r="C2" t="str">
        <x:v>https://www.google.com/travel/flights</x:v>
      </x:c>
      <x:c r="D2" t="str">
        <x:v>Monitorar passagens</x:v>
      </x:c>
    </x:row>
    <x:row r="3">
      <x:c r="A3" t="str">
        <x:v>Roteiro</x:v>
      </x:c>
      <x:c r="B3" t="str">
        <x:v>Decolar</x:v>
      </x:c>
      <x:c r="C3" t="str">
        <x:v>https://www.decolar.com/</x:v>
      </x:c>
      <x:c r="D3" t="str">
        <x:v>Hotéis/passagens</x:v>
      </x:c>
    </x:row>
    <x:row r="4">
      <x:c r="A4" t="str">
        <x:v>Roteiro</x:v>
      </x:c>
      <x:c r="B4" t="str">
        <x:v>Skyscanner</x:v>
      </x:c>
      <x:c r="C4" t="str">
        <x:v>https://www.skyscanner.com.br/</x:v>
      </x:c>
      <x:c r="D4" t="str">
        <x:v>Comparar voos</x:v>
      </x:c>
    </x:row>
    <x:row r="5">
      <x:c r="A5" t="str">
        <x:v>Passeio</x:v>
      </x:c>
      <x:c r="B5" t="str">
        <x:v>Xcaret</x:v>
      </x:c>
      <x:c r="C5" t="str">
        <x:v>https://www.xcaret.com/pt/</x:v>
      </x:c>
      <x:c r="D5" t="str">
        <x:v>Comprar/ver horários</x:v>
      </x:c>
    </x:row>
    <x:row r="6">
      <x:c r="A6" t="str">
        <x:v>Passeio</x:v>
      </x:c>
      <x:c r="B6" t="str">
        <x:v>Catamarã Xailing</x:v>
      </x:c>
      <x:c r="C6" t="str">
        <x:v>https://www.xcaret.com/en/xailing/catamaran-prime-tour/</x:v>
      </x:c>
      <x:c r="D6" t="str">
        <x:v>Catamarã Isla Mujeres</x:v>
      </x:c>
    </x:row>
    <x:row r="7">
      <x:c r="A7" t="str">
        <x:v>Passeio</x:v>
      </x:c>
      <x:c r="B7" t="str">
        <x:v>Ultramar Ferry</x:v>
      </x:c>
      <x:c r="C7" t="str">
        <x:v>https://www.ultramarferry.com/</x:v>
      </x:c>
      <x:c r="D7" t="str">
        <x:v>Ferry Cozumel / Isla Mujeres</x:v>
      </x:c>
    </x:row>
    <x:row r="8">
      <x:c r="A8" t="str">
        <x:v>Compras</x:v>
      </x:c>
      <x:c r="B8" t="str">
        <x:v>Walmart Cancún</x:v>
      </x:c>
      <x:c r="C8" t="str">
        <x:v>https://maps.google.com/?q=Walmart+Cancun+Centro</x:v>
      </x:c>
      <x:c r="D8" t="str">
        <x:v>Compras e snacks</x:v>
      </x:c>
    </x:row>
    <x:row r="9">
      <x:c r="A9" t="str">
        <x:v>Compras</x:v>
      </x:c>
      <x:c r="B9" t="str">
        <x:v>Walmart Playa</x:v>
      </x:c>
      <x:c r="C9" t="str">
        <x:v>https://maps.google.com/?q=Walmart+Playa+del+Carmen</x:v>
      </x:c>
      <x:c r="D9" t="str">
        <x:v>Compras base Playa</x:v>
      </x:c>
    </x:row>
    <x:row r="10">
      <x:c r="A10" t="str">
        <x:v>Igreja</x:v>
      </x:c>
      <x:c r="B10" t="str">
        <x:v>Parroquia Nuestra Señora del Carmen</x:v>
      </x:c>
      <x:c r="C10" t="str">
        <x:v>https://www.google.com/search?q=Parroquia+Nuestra+Se%C3%B1ora+del+Carmen+Playa+del+Carmen</x:v>
      </x:c>
      <x:c r="D10" t="str">
        <x:v>Missa em Playa</x:v>
      </x:c>
    </x:row>
    <x:row r="11">
      <x:c r="A11" t="str">
        <x:v>Igreja</x:v>
      </x:c>
      <x:c r="B11" t="str">
        <x:v>Parroquia Cristo Resucitado Cancún</x:v>
      </x:c>
      <x:c r="C11" t="str">
        <x:v>https://www.google.com/search?q=Parroquia+Cristo+Resucitado+Cancun</x:v>
      </x:c>
      <x:c r="D11" t="str">
        <x:v>Missa Zona Hoteleira</x:v>
      </x:c>
    </x:row>
    <x:row r="12">
      <x:c r="A12" t="str">
        <x:v>Igreja</x:v>
      </x:c>
      <x:c r="B12" t="str">
        <x:v>Parroquia Sagrada Familia Cancún</x:v>
      </x:c>
      <x:c r="C12" t="str">
        <x:v>https://www.google.com/search?q=Parroquia+Sagrada+Familia+Cancun</x:v>
      </x:c>
      <x:c r="D12" t="str">
        <x:v>Missa Downtown</x:v>
      </x:c>
    </x:row>
  </x:sheetData>
  <x:pageMargins left="0.7" right="0.7" top="0.75" bottom="0.75" header="0.3" footer="0.3"/>
  <x:tableParts count="1">
    <x:tablePart xmlns:r="http://schemas.openxmlformats.org/officeDocument/2006/relationships" r:id="R90490237b483452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.789999961853027" hidden="0" customWidth="1"/>
    <x:col min="2" max="2" width="9.420000076293945" hidden="0" customWidth="1"/>
    <x:col min="3" max="3" width="10.229999542236328" hidden="0" customWidth="1"/>
    <x:col min="4" max="4" width="70.5199966430664" hidden="0" customWidth="1"/>
  </x:cols>
  <x:sheetData>
    <x:row r="1">
      <x:c r="A1" s="3" t="str">
        <x:v>Moeda</x:v>
      </x:c>
      <x:c r="B1" s="3" t="str">
        <x:v>Taxa p/ BRL</x:v>
      </x:c>
      <x:c r="C1" s="3" t="str">
        <x:v>Atualizar em</x:v>
      </x:c>
      <x:c r="D1" s="3" t="str">
        <x:v>Fonte/obs</x:v>
      </x:c>
    </x:row>
    <x:row r="2">
      <x:c r="A2" t="str">
        <x:v>USD</x:v>
      </x:c>
      <x:c r="B2" t="n">
        <x:v>5.6</x:v>
      </x:c>
      <x:c r="C2" t="str">
        <x:v>2026-05-19</x:v>
      </x:c>
      <x:c r="D2" t="str">
        <x:v>Atualizar manualmente ou via Google Sheets: =GOOGLEFINANCE("CURRENCY:USDBRL")</x:v>
      </x:c>
    </x:row>
    <x:row r="3">
      <x:c r="A3" t="str">
        <x:v>MXN</x:v>
      </x:c>
      <x:c r="B3" t="n">
        <x:v>0.32</x:v>
      </x:c>
      <x:c r="C3" t="str">
        <x:v>2026-05-19</x:v>
      </x:c>
      <x:c r="D3" t="str">
        <x:v>Atualizar manualmente ou via Google Sheets: =GOOGLEFINANCE("CURRENCY:MXNBRL")</x:v>
      </x:c>
    </x:row>
    <x:row r="4">
      <x:c r="A4" t="str">
        <x:v>EUR</x:v>
      </x:c>
      <x:c r="B4" t="n">
        <x:v>6.1</x:v>
      </x:c>
      <x:c r="C4" t="str">
        <x:v>2026-05-19</x:v>
      </x:c>
      <x:c r="D4" t="str">
        <x:v>Reserva opcional</x:v>
      </x:c>
    </x:row>
  </x:sheetData>
  <x:pageMargins left="0.7" right="0.7" top="0.75" bottom="0.75" header="0.3" footer="0.3"/>
</x:worksheet>
</file>