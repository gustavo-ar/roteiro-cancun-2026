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nto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Voos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Reservas" sheetId="5" state="visible" r:id="rId5"/>
    <sheet xmlns:r="http://schemas.openxmlformats.org/officeDocument/2006/relationships" name="Parcelas" sheetId="6" state="visible" r:id="rId6"/>
    <sheet xmlns:r="http://schemas.openxmlformats.org/officeDocument/2006/relationships" name="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165" fontId="3" fillId="2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4" customWidth="1" min="4" max="4"/>
  </cols>
  <sheetData>
    <row r="1">
      <c r="A1" s="9" t="inlineStr">
        <is>
          <t>Trecho</t>
        </is>
      </c>
      <c r="B1" s="9" t="inlineStr">
        <is>
          <t>Neia</t>
        </is>
      </c>
      <c r="C1" s="9" t="inlineStr">
        <is>
          <t>Gustavo</t>
        </is>
      </c>
      <c r="D1" s="9" t="inlineStr">
        <is>
          <t>Observações</t>
        </is>
      </c>
    </row>
    <row r="2">
      <c r="A2" t="inlineStr">
        <is>
          <t>GRU → PTY</t>
        </is>
      </c>
      <c r="B2" t="inlineStr">
        <is>
          <t>27B</t>
        </is>
      </c>
      <c r="C2" t="inlineStr">
        <is>
          <t>27C</t>
        </is>
      </c>
      <c r="D2" t="inlineStr">
        <is>
          <t>Primeiro trecho juntos; corredor para Gustavo</t>
        </is>
      </c>
    </row>
    <row r="3">
      <c r="A3" t="inlineStr">
        <is>
          <t>PTY → CUN</t>
        </is>
      </c>
      <c r="B3" t="inlineStr">
        <is>
          <t>27E</t>
        </is>
      </c>
      <c r="C3" t="inlineStr">
        <is>
          <t>27D</t>
        </is>
      </c>
      <c r="D3" t="inlineStr">
        <is>
          <t>Trecho curto até Cancún</t>
        </is>
      </c>
    </row>
    <row r="4">
      <c r="A4" t="inlineStr">
        <is>
          <t>CUN → PTY</t>
        </is>
      </c>
      <c r="B4" t="inlineStr">
        <is>
          <t>23B</t>
        </is>
      </c>
      <c r="C4" t="inlineStr">
        <is>
          <t>23C</t>
        </is>
      </c>
      <c r="D4" t="inlineStr">
        <is>
          <t>Melhores assentos da viagem</t>
        </is>
      </c>
    </row>
    <row r="5">
      <c r="A5" t="inlineStr">
        <is>
          <t>PTY → GRU</t>
        </is>
      </c>
      <c r="B5" t="inlineStr">
        <is>
          <t>25B</t>
        </is>
      </c>
      <c r="C5" t="inlineStr">
        <is>
          <t>25C</t>
        </is>
      </c>
      <c r="D5" t="inlineStr">
        <is>
          <t>Trecho longo confortável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Painel da Viagem — Playa del Carmen / Cancún 2026</t>
        </is>
      </c>
      <c r="B1" s="10" t="n"/>
      <c r="C1" s="10" t="n"/>
      <c r="D1" s="10" t="n"/>
      <c r="E1" s="11" t="n"/>
    </row>
    <row r="2">
      <c r="A2" s="3" t="inlineStr">
        <is>
          <t>Período total</t>
        </is>
      </c>
      <c r="B2" s="2" t="inlineStr">
        <is>
          <t>05/06/2026 → 16/06/2026</t>
        </is>
      </c>
      <c r="C2" s="2" t="n"/>
      <c r="D2" s="2" t="n"/>
      <c r="E2" s="2" t="n"/>
    </row>
    <row r="3">
      <c r="A3" s="3" t="inlineStr">
        <is>
          <t>Ida</t>
        </is>
      </c>
      <c r="B3" s="2" t="inlineStr">
        <is>
          <t>GRU 05/06 05:15 → CUN 05/06 15:35</t>
        </is>
      </c>
      <c r="C3" s="2" t="n"/>
      <c r="D3" s="2" t="n"/>
      <c r="E3" s="2" t="n"/>
    </row>
    <row r="4">
      <c r="A4" s="3" t="inlineStr">
        <is>
          <t>Volta</t>
        </is>
      </c>
      <c r="B4" s="2" t="inlineStr">
        <is>
          <t>CUN 16/06 10:46 → GRU 17/06 00:10</t>
        </is>
      </c>
      <c r="C4" s="2" t="n"/>
      <c r="D4" s="2" t="n"/>
      <c r="E4" s="2" t="n"/>
    </row>
    <row r="5">
      <c r="A5" s="3" t="inlineStr">
        <is>
          <t>Playa del Carmen</t>
        </is>
      </c>
      <c r="B5" s="2" t="inlineStr">
        <is>
          <t>05/06 → 10/06</t>
        </is>
      </c>
      <c r="C5" s="2" t="n"/>
      <c r="D5" s="2" t="n"/>
      <c r="E5" s="2" t="n"/>
    </row>
    <row r="6">
      <c r="A6" s="3" t="inlineStr">
        <is>
          <t>Cancún</t>
        </is>
      </c>
      <c r="B6" s="2" t="inlineStr">
        <is>
          <t>10/06 → 16/06</t>
        </is>
      </c>
      <c r="C6" s="2" t="n"/>
      <c r="D6" s="2" t="n"/>
      <c r="E6" s="2" t="n"/>
    </row>
    <row r="7">
      <c r="A7" s="3" t="inlineStr">
        <is>
          <t>Voo total</t>
        </is>
      </c>
      <c r="B7" s="4" t="n">
        <v>6089</v>
      </c>
      <c r="C7" s="2" t="n"/>
      <c r="D7" s="2" t="n"/>
      <c r="E7" s="2" t="n"/>
    </row>
    <row r="8">
      <c r="A8" s="3" t="inlineStr">
        <is>
          <t>Pagamento voo</t>
        </is>
      </c>
      <c r="B8" s="2" t="inlineStr">
        <is>
          <t>Gustavo • Visa final 1399 • 3x sem juros</t>
        </is>
      </c>
      <c r="C8" s="2" t="n"/>
      <c r="D8" s="2" t="n"/>
      <c r="E8" s="2" t="n"/>
    </row>
    <row r="9">
      <c r="A9" s="3" t="inlineStr">
        <is>
          <t>Parcela voo</t>
        </is>
      </c>
      <c r="B9" s="4" t="n">
        <v>2029.67</v>
      </c>
      <c r="C9" s="2" t="n"/>
      <c r="D9" s="2" t="n"/>
      <c r="E9" s="2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4" customWidth="1" min="4" max="4"/>
    <col width="18" customWidth="1" min="5" max="5"/>
    <col width="44" customWidth="1" min="6" max="6"/>
  </cols>
  <sheetData>
    <row r="1">
      <c r="A1" s="5" t="inlineStr">
        <is>
          <t>Trecho</t>
        </is>
      </c>
      <c r="B1" s="5" t="inlineStr">
        <is>
          <t>Voo</t>
        </is>
      </c>
      <c r="C1" s="5" t="inlineStr">
        <is>
          <t>Saída</t>
        </is>
      </c>
      <c r="D1" s="5" t="inlineStr">
        <is>
          <t>Chegada</t>
        </is>
      </c>
      <c r="E1" s="5" t="inlineStr">
        <is>
          <t>Duração/Conexão</t>
        </is>
      </c>
      <c r="F1" s="5" t="inlineStr">
        <is>
          <t>Observações</t>
        </is>
      </c>
    </row>
    <row r="2">
      <c r="A2" s="2" t="inlineStr">
        <is>
          <t>GRU → PTY</t>
        </is>
      </c>
      <c r="B2" s="2" t="inlineStr">
        <is>
          <t>Copa Airlines 811</t>
        </is>
      </c>
      <c r="C2" s="2" t="inlineStr">
        <is>
          <t>05/06/2026 05:15</t>
        </is>
      </c>
      <c r="D2" s="2" t="inlineStr">
        <is>
          <t>05/06/2026 09:57</t>
        </is>
      </c>
      <c r="E2" s="2" t="inlineStr">
        <is>
          <t>6h42</t>
        </is>
      </c>
      <c r="F2" s="2" t="inlineStr">
        <is>
          <t>Guarulhos → Panamá Tocumen</t>
        </is>
      </c>
    </row>
    <row r="3">
      <c r="A3" s="2" t="inlineStr">
        <is>
          <t>Conexão PTY</t>
        </is>
      </c>
      <c r="B3" s="2" t="inlineStr">
        <is>
          <t>-</t>
        </is>
      </c>
      <c r="C3" s="2" t="inlineStr">
        <is>
          <t>09:57</t>
        </is>
      </c>
      <c r="D3" s="2" t="inlineStr">
        <is>
          <t>12:44</t>
        </is>
      </c>
      <c r="E3" s="2" t="inlineStr">
        <is>
          <t>2h47</t>
        </is>
      </c>
      <c r="F3" s="2" t="inlineStr">
        <is>
          <t>Conexão confortável em Tocumen</t>
        </is>
      </c>
    </row>
    <row r="4">
      <c r="A4" s="2" t="inlineStr">
        <is>
          <t>PTY → CUN</t>
        </is>
      </c>
      <c r="B4" s="2" t="inlineStr">
        <is>
          <t>Copa Airlines 324</t>
        </is>
      </c>
      <c r="C4" s="2" t="inlineStr">
        <is>
          <t>05/06/2026 12:44</t>
        </is>
      </c>
      <c r="D4" s="2" t="inlineStr">
        <is>
          <t>05/06/2026 15:35</t>
        </is>
      </c>
      <c r="E4" s="2" t="inlineStr">
        <is>
          <t>2h51</t>
        </is>
      </c>
      <c r="F4" s="2" t="inlineStr">
        <is>
          <t>Chegada em Cancún no meio da tarde</t>
        </is>
      </c>
    </row>
    <row r="5">
      <c r="A5" s="2" t="inlineStr">
        <is>
          <t>CUN → PTY</t>
        </is>
      </c>
      <c r="B5" s="2" t="inlineStr">
        <is>
          <t>Copa Airlines 317</t>
        </is>
      </c>
      <c r="C5" s="2" t="inlineStr">
        <is>
          <t>16/06/2026 10:46</t>
        </is>
      </c>
      <c r="D5" s="2" t="inlineStr">
        <is>
          <t>16/06/2026 13:26</t>
        </is>
      </c>
      <c r="E5" s="2" t="inlineStr">
        <is>
          <t>2h40</t>
        </is>
      </c>
      <c r="F5" s="2" t="inlineStr">
        <is>
          <t>Cancún → Panamá</t>
        </is>
      </c>
    </row>
    <row r="6">
      <c r="A6" s="2" t="inlineStr">
        <is>
          <t>Conexão PTY</t>
        </is>
      </c>
      <c r="B6" s="2" t="inlineStr">
        <is>
          <t>-</t>
        </is>
      </c>
      <c r="C6" s="2" t="inlineStr">
        <is>
          <t>13:26</t>
        </is>
      </c>
      <c r="D6" s="2" t="inlineStr">
        <is>
          <t>15:20</t>
        </is>
      </c>
      <c r="E6" s="2" t="inlineStr">
        <is>
          <t>1h54</t>
        </is>
      </c>
      <c r="F6" s="2" t="inlineStr">
        <is>
          <t>Conexão viável em Tocumen</t>
        </is>
      </c>
    </row>
    <row r="7">
      <c r="A7" s="2" t="inlineStr">
        <is>
          <t>PTY → GRU</t>
        </is>
      </c>
      <c r="B7" s="2" t="inlineStr">
        <is>
          <t>Copa Airlines 725</t>
        </is>
      </c>
      <c r="C7" s="2" t="inlineStr">
        <is>
          <t>16/06/2026 15:20</t>
        </is>
      </c>
      <c r="D7" s="2" t="inlineStr">
        <is>
          <t>17/06/2026 00:10</t>
        </is>
      </c>
      <c r="E7" s="2" t="inlineStr">
        <is>
          <t>6h50</t>
        </is>
      </c>
      <c r="F7" s="2" t="inlineStr">
        <is>
          <t>Chegada ao Brasil dia 17/06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0" customWidth="1" min="9" max="9"/>
    <col width="14" customWidth="1" min="10" max="10"/>
    <col width="16" customWidth="1" min="11" max="11"/>
    <col width="44" customWidth="1" min="12" max="12"/>
  </cols>
  <sheetData>
    <row r="1">
      <c r="A1" s="5" t="inlineStr">
        <is>
          <t>Categoria</t>
        </is>
      </c>
      <c r="B1" s="5" t="inlineStr">
        <is>
          <t>Descrição</t>
        </is>
      </c>
      <c r="C1" s="5" t="inlineStr">
        <is>
          <t>Previsto</t>
        </is>
      </c>
      <c r="D1" s="5" t="inlineStr">
        <is>
          <t>Real</t>
        </is>
      </c>
      <c r="E1" s="5" t="inlineStr">
        <is>
          <t>Status</t>
        </is>
      </c>
      <c r="F1" s="5" t="inlineStr">
        <is>
          <t>Meio pagamento</t>
        </is>
      </c>
      <c r="G1" s="5" t="inlineStr">
        <is>
          <t>Quem pagou</t>
        </is>
      </c>
      <c r="H1" s="5" t="inlineStr">
        <is>
          <t>Data pagamento</t>
        </is>
      </c>
      <c r="I1" s="5" t="inlineStr">
        <is>
          <t>Parcelas</t>
        </is>
      </c>
      <c r="J1" s="5" t="inlineStr">
        <is>
          <t>Valor parcela</t>
        </is>
      </c>
      <c r="K1" s="5" t="inlineStr">
        <is>
          <t>Última parcela</t>
        </is>
      </c>
      <c r="L1" s="5" t="inlineStr">
        <is>
          <t>Obs</t>
        </is>
      </c>
    </row>
    <row r="2">
      <c r="A2" s="2" t="inlineStr">
        <is>
          <t>Voo</t>
        </is>
      </c>
      <c r="B2" s="2" t="inlineStr">
        <is>
          <t>Copa Airlines GRU-CUN via Panamá</t>
        </is>
      </c>
      <c r="C2" s="4" t="n">
        <v>6089</v>
      </c>
      <c r="D2" s="4" t="n">
        <v>6089</v>
      </c>
      <c r="E2" s="2" t="inlineStr">
        <is>
          <t>Pago</t>
        </is>
      </c>
      <c r="F2" s="2" t="inlineStr">
        <is>
          <t>Cartão de crédito</t>
        </is>
      </c>
      <c r="G2" s="2" t="inlineStr">
        <is>
          <t>Gustavo</t>
        </is>
      </c>
      <c r="H2" s="6" t="inlineStr">
        <is>
          <t>23/05/2026</t>
        </is>
      </c>
      <c r="I2" s="2" t="n">
        <v>3</v>
      </c>
      <c r="J2" s="4">
        <f>D2/I2</f>
        <v/>
      </c>
      <c r="K2" s="6">
        <f>EDATE(H2,I2-1)</f>
        <v/>
      </c>
      <c r="L2" s="2" t="inlineStr">
        <is>
          <t>Visa final 1399; reserva Decolar 221765346900</t>
        </is>
      </c>
    </row>
    <row r="3">
      <c r="A3" s="2" t="inlineStr">
        <is>
          <t>Hotel</t>
        </is>
      </c>
      <c r="B3" s="2" t="inlineStr">
        <is>
          <t>Playa del Carmen 05–10/06</t>
        </is>
      </c>
      <c r="C3" s="4" t="n">
        <v>3500</v>
      </c>
      <c r="D3" s="4" t="inlineStr"/>
      <c r="E3" s="2" t="inlineStr">
        <is>
          <t>Pendente</t>
        </is>
      </c>
      <c r="F3" s="2" t="inlineStr">
        <is>
          <t>Cartão parcelado</t>
        </is>
      </c>
      <c r="G3" s="2" t="inlineStr">
        <is>
          <t>A definir</t>
        </is>
      </c>
      <c r="H3" s="6" t="inlineStr"/>
      <c r="I3" s="2" t="n">
        <v>3</v>
      </c>
      <c r="J3" s="4">
        <f>IFERROR(D3/I3,"")</f>
        <v/>
      </c>
      <c r="K3" s="6">
        <f>IF(OR(H3="",I3=""),"",EDATE(H3,I3-1))</f>
        <v/>
      </c>
      <c r="L3" s="2" t="inlineStr">
        <is>
          <t>5 noites</t>
        </is>
      </c>
    </row>
    <row r="4">
      <c r="A4" s="2" t="inlineStr">
        <is>
          <t>Hotel</t>
        </is>
      </c>
      <c r="B4" s="2" t="inlineStr">
        <is>
          <t>Cancún 10–16/06</t>
        </is>
      </c>
      <c r="C4" s="4" t="n">
        <v>3200</v>
      </c>
      <c r="D4" s="4" t="inlineStr"/>
      <c r="E4" s="2" t="inlineStr">
        <is>
          <t>Pendente</t>
        </is>
      </c>
      <c r="F4" s="2" t="inlineStr">
        <is>
          <t>Cartão parcelado</t>
        </is>
      </c>
      <c r="G4" s="2" t="inlineStr">
        <is>
          <t>A definir</t>
        </is>
      </c>
      <c r="H4" s="6" t="inlineStr"/>
      <c r="I4" s="2" t="n">
        <v>3</v>
      </c>
      <c r="J4" s="4">
        <f>IFERROR(D4/I4,"")</f>
        <v/>
      </c>
      <c r="K4" s="6">
        <f>IF(OR(H4="",I4=""),"",EDATE(H4,I4-1))</f>
        <v/>
      </c>
      <c r="L4" s="2" t="inlineStr">
        <is>
          <t>6 noites</t>
        </is>
      </c>
    </row>
    <row r="5">
      <c r="A5" s="2" t="inlineStr">
        <is>
          <t>Passeio</t>
        </is>
      </c>
      <c r="B5" s="2" t="inlineStr">
        <is>
          <t>Xcaret</t>
        </is>
      </c>
      <c r="C5" s="4" t="n">
        <v>950</v>
      </c>
      <c r="D5" s="4" t="inlineStr"/>
      <c r="E5" s="2" t="inlineStr">
        <is>
          <t>Pendente</t>
        </is>
      </c>
      <c r="F5" s="2" t="inlineStr">
        <is>
          <t>Cartão à vista</t>
        </is>
      </c>
      <c r="G5" s="2" t="inlineStr">
        <is>
          <t>A definir</t>
        </is>
      </c>
      <c r="H5" s="6" t="inlineStr"/>
      <c r="I5" s="2" t="n">
        <v>1</v>
      </c>
      <c r="J5" s="4">
        <f>IFERROR(D5/I5,"")</f>
        <v/>
      </c>
      <c r="K5" s="6">
        <f>IF(OR(H5="",I5=""),"",EDATE(H5,I5-1))</f>
        <v/>
      </c>
      <c r="L5" s="2" t="inlineStr"/>
    </row>
    <row r="6">
      <c r="A6" s="2" t="inlineStr">
        <is>
          <t>Passeio</t>
        </is>
      </c>
      <c r="B6" s="2" t="inlineStr">
        <is>
          <t>Cozumel + snorkel</t>
        </is>
      </c>
      <c r="C6" s="4" t="n">
        <v>1200</v>
      </c>
      <c r="D6" s="4" t="inlineStr"/>
      <c r="E6" s="2" t="inlineStr">
        <is>
          <t>Pendente</t>
        </is>
      </c>
      <c r="F6" s="2" t="inlineStr">
        <is>
          <t>Wise</t>
        </is>
      </c>
      <c r="G6" s="2" t="inlineStr">
        <is>
          <t>A definir</t>
        </is>
      </c>
      <c r="H6" s="6" t="inlineStr"/>
      <c r="I6" s="2" t="n">
        <v>1</v>
      </c>
      <c r="J6" s="4">
        <f>IFERROR(D6/I6,"")</f>
        <v/>
      </c>
      <c r="K6" s="6">
        <f>IF(OR(H6="",I6=""),"",EDATE(H6,I6-1))</f>
        <v/>
      </c>
      <c r="L6" s="2" t="inlineStr"/>
    </row>
    <row r="7">
      <c r="A7" s="2" t="inlineStr">
        <is>
          <t>Passeio</t>
        </is>
      </c>
      <c r="B7" s="2" t="inlineStr">
        <is>
          <t>Catamarã Isla Mujeres</t>
        </is>
      </c>
      <c r="C7" s="4" t="n">
        <v>680</v>
      </c>
      <c r="D7" s="4" t="inlineStr"/>
      <c r="E7" s="2" t="inlineStr">
        <is>
          <t>Pendente</t>
        </is>
      </c>
      <c r="F7" s="2" t="inlineStr">
        <is>
          <t>Cartão à vista</t>
        </is>
      </c>
      <c r="G7" s="2" t="inlineStr">
        <is>
          <t>A definir</t>
        </is>
      </c>
      <c r="H7" s="6" t="inlineStr"/>
      <c r="I7" s="2" t="n">
        <v>1</v>
      </c>
      <c r="J7" s="4">
        <f>IFERROR(D7/I7,"")</f>
        <v/>
      </c>
      <c r="K7" s="6">
        <f>IF(OR(H7="",I7=""),"",EDATE(H7,I7-1))</f>
        <v/>
      </c>
      <c r="L7" s="2" t="inlineStr"/>
    </row>
    <row r="8">
      <c r="A8" s="2" t="inlineStr">
        <is>
          <t>Compras</t>
        </is>
      </c>
      <c r="B8" s="2" t="inlineStr">
        <is>
          <t>Walmart/snacks/farmácia</t>
        </is>
      </c>
      <c r="C8" s="4" t="n">
        <v>1800</v>
      </c>
      <c r="D8" s="4" t="inlineStr"/>
      <c r="E8" s="2" t="inlineStr">
        <is>
          <t>Pendente</t>
        </is>
      </c>
      <c r="F8" s="2" t="inlineStr">
        <is>
          <t>Wise</t>
        </is>
      </c>
      <c r="G8" s="2" t="inlineStr">
        <is>
          <t>Cada um pagou o seu</t>
        </is>
      </c>
      <c r="H8" s="6" t="inlineStr"/>
      <c r="I8" s="2" t="n">
        <v>1</v>
      </c>
      <c r="J8" s="4">
        <f>IFERROR(D8/I8,"")</f>
        <v/>
      </c>
      <c r="K8" s="6">
        <f>IF(OR(H8="",I8=""),"",EDATE(H8,I8-1))</f>
        <v/>
      </c>
      <c r="L8" s="2" t="inlineStr"/>
    </row>
    <row r="9">
      <c r="A9" s="2" t="inlineStr">
        <is>
          <t>Transporte</t>
        </is>
      </c>
      <c r="B9" s="2" t="inlineStr">
        <is>
          <t>Uber/ADO/transfer</t>
        </is>
      </c>
      <c r="C9" s="4" t="n">
        <v>1500</v>
      </c>
      <c r="D9" s="4" t="inlineStr"/>
      <c r="E9" s="2" t="inlineStr">
        <is>
          <t>Pendente</t>
        </is>
      </c>
      <c r="F9" s="2" t="inlineStr">
        <is>
          <t>Wise</t>
        </is>
      </c>
      <c r="G9" s="2" t="inlineStr">
        <is>
          <t>Cada um pagou o seu</t>
        </is>
      </c>
      <c r="H9" s="6" t="inlineStr"/>
      <c r="I9" s="2" t="n">
        <v>1</v>
      </c>
      <c r="J9" s="4">
        <f>IFERROR(D9/I9,"")</f>
        <v/>
      </c>
      <c r="K9" s="6">
        <f>IF(OR(H9="",I9=""),"",EDATE(H9,I9-1))</f>
        <v/>
      </c>
      <c r="L9" s="2" t="inlineStr"/>
    </row>
    <row r="10">
      <c r="A10" s="2" t="n"/>
      <c r="B10" s="2" t="n"/>
      <c r="C10" s="4" t="n"/>
      <c r="D10" s="4" t="n"/>
      <c r="E10" s="2" t="n"/>
      <c r="F10" s="2" t="n"/>
      <c r="G10" s="2" t="n"/>
      <c r="H10" s="6" t="n"/>
      <c r="I10" s="2" t="n"/>
      <c r="J10" s="4" t="n"/>
      <c r="K10" s="6" t="n"/>
      <c r="L10" s="2" t="n"/>
    </row>
    <row r="11">
      <c r="A11" s="5" t="inlineStr">
        <is>
          <t>Resumo</t>
        </is>
      </c>
      <c r="B11" s="5" t="inlineStr">
        <is>
          <t>Valor</t>
        </is>
      </c>
      <c r="C11" s="7" t="n"/>
      <c r="D11" s="7" t="n"/>
      <c r="E11" s="5" t="n"/>
      <c r="F11" s="5" t="n"/>
      <c r="G11" s="5" t="n"/>
      <c r="H11" s="8" t="n"/>
      <c r="I11" s="5" t="n"/>
      <c r="J11" s="7" t="n"/>
      <c r="K11" s="8" t="n"/>
      <c r="L11" s="5" t="n"/>
    </row>
    <row r="12">
      <c r="A12" s="2" t="inlineStr">
        <is>
          <t>Total previsto</t>
        </is>
      </c>
      <c r="B12" s="2">
        <f>SUM(C2:C9)</f>
        <v/>
      </c>
      <c r="C12" s="4" t="n"/>
      <c r="D12" s="4" t="n"/>
      <c r="E12" s="2" t="n"/>
      <c r="F12" s="2" t="n"/>
      <c r="G12" s="2" t="n"/>
      <c r="H12" s="6" t="n"/>
      <c r="I12" s="2" t="n"/>
      <c r="J12" s="4" t="n"/>
      <c r="K12" s="6" t="n"/>
      <c r="L12" s="2" t="n"/>
    </row>
    <row r="13">
      <c r="A13" s="2" t="inlineStr">
        <is>
          <t>Total real</t>
        </is>
      </c>
      <c r="B13" s="2">
        <f>SUM(D2:D9)</f>
        <v/>
      </c>
      <c r="C13" s="4" t="n"/>
      <c r="D13" s="4" t="n"/>
      <c r="E13" s="2" t="n"/>
      <c r="F13" s="2" t="n"/>
      <c r="G13" s="2" t="n"/>
      <c r="H13" s="6" t="n"/>
      <c r="I13" s="2" t="n"/>
      <c r="J13" s="4" t="n"/>
      <c r="K13" s="6" t="n"/>
      <c r="L13" s="2" t="n"/>
    </row>
    <row r="14">
      <c r="A14" s="2" t="inlineStr">
        <is>
          <t>Pago por Gustavo</t>
        </is>
      </c>
      <c r="B14" s="2">
        <f>SUMIF(G2:G9,"Gustavo",D2:D9)</f>
        <v/>
      </c>
      <c r="C14" s="4" t="n"/>
      <c r="D14" s="4" t="n"/>
      <c r="E14" s="2" t="n"/>
      <c r="F14" s="2" t="n"/>
      <c r="G14" s="2" t="n"/>
      <c r="H14" s="6" t="n"/>
      <c r="I14" s="2" t="n"/>
      <c r="J14" s="4" t="n"/>
      <c r="K14" s="6" t="n"/>
      <c r="L14" s="2" t="n"/>
    </row>
    <row r="15">
      <c r="A15" s="2" t="inlineStr">
        <is>
          <t>Próxima parcela</t>
        </is>
      </c>
      <c r="B15" s="2">
        <f>IFERROR(MINIFS(K2:K9,K2:K9,"&gt;="&amp;TODAY()),"—")</f>
        <v/>
      </c>
      <c r="C15" s="4" t="n"/>
      <c r="D15" s="4" t="n"/>
      <c r="E15" s="2" t="n"/>
      <c r="F15" s="2" t="n"/>
      <c r="G15" s="2" t="n"/>
      <c r="H15" s="6" t="n"/>
      <c r="I15" s="2" t="n"/>
      <c r="J15" s="4" t="n"/>
      <c r="K15" s="6" t="n"/>
      <c r="L1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8" customWidth="1" min="5" max="5"/>
    <col width="16" customWidth="1" min="6" max="6"/>
    <col width="10" customWidth="1" min="7" max="7"/>
    <col width="46" customWidth="1" min="8" max="8"/>
    <col width="30" customWidth="1" min="9" max="9"/>
  </cols>
  <sheetData>
    <row r="1">
      <c r="A1" s="5" t="inlineStr">
        <is>
          <t>Reserva</t>
        </is>
      </c>
      <c r="B1" s="5" t="inlineStr">
        <is>
          <t>Data</t>
        </is>
      </c>
      <c r="C1" s="5" t="inlineStr">
        <is>
          <t>Status</t>
        </is>
      </c>
      <c r="D1" s="5" t="inlineStr">
        <is>
          <t>Valor</t>
        </is>
      </c>
      <c r="E1" s="5" t="inlineStr">
        <is>
          <t>Meio pagamento</t>
        </is>
      </c>
      <c r="F1" s="5" t="inlineStr">
        <is>
          <t>Quem pagou</t>
        </is>
      </c>
      <c r="G1" s="5" t="inlineStr">
        <is>
          <t>Parcelas</t>
        </is>
      </c>
      <c r="H1" s="5" t="inlineStr">
        <is>
          <t>Link/Comprovante</t>
        </is>
      </c>
      <c r="I1" s="5" t="inlineStr">
        <is>
          <t>Obs</t>
        </is>
      </c>
    </row>
    <row r="2">
      <c r="A2" s="2" t="inlineStr">
        <is>
          <t>Voo Copa Airlines</t>
        </is>
      </c>
      <c r="B2" s="2" t="inlineStr">
        <is>
          <t>05/06/2026</t>
        </is>
      </c>
      <c r="C2" s="2" t="inlineStr">
        <is>
          <t>Pago</t>
        </is>
      </c>
      <c r="D2" s="4" t="n">
        <v>6089</v>
      </c>
      <c r="E2" s="2" t="inlineStr">
        <is>
          <t>Cartão de crédito</t>
        </is>
      </c>
      <c r="F2" s="2" t="inlineStr">
        <is>
          <t>Gustavo</t>
        </is>
      </c>
      <c r="G2" s="2" t="n">
        <v>3</v>
      </c>
      <c r="H2" s="2" t="inlineStr">
        <is>
          <t>Reserva Decolar 221765346900</t>
        </is>
      </c>
      <c r="I2" s="2" t="inlineStr">
        <is>
          <t>Visa final 1399</t>
        </is>
      </c>
    </row>
    <row r="3">
      <c r="A3" s="2" t="inlineStr">
        <is>
          <t>Hotel Playa</t>
        </is>
      </c>
      <c r="B3" s="2" t="inlineStr">
        <is>
          <t>05–10/06</t>
        </is>
      </c>
      <c r="C3" s="2" t="inlineStr">
        <is>
          <t>Pendente</t>
        </is>
      </c>
      <c r="D3" s="4" t="inlineStr"/>
      <c r="E3" s="2" t="inlineStr">
        <is>
          <t>Cartão parcelado</t>
        </is>
      </c>
      <c r="F3" s="2" t="inlineStr">
        <is>
          <t>A definir</t>
        </is>
      </c>
      <c r="G3" s="2" t="n">
        <v>3</v>
      </c>
      <c r="H3" s="2" t="inlineStr"/>
      <c r="I3" s="2" t="inlineStr"/>
    </row>
    <row r="4">
      <c r="A4" s="2" t="inlineStr">
        <is>
          <t>Hotel Cancún</t>
        </is>
      </c>
      <c r="B4" s="2" t="inlineStr">
        <is>
          <t>10–16/06</t>
        </is>
      </c>
      <c r="C4" s="2" t="inlineStr">
        <is>
          <t>Pendente</t>
        </is>
      </c>
      <c r="D4" s="4" t="inlineStr"/>
      <c r="E4" s="2" t="inlineStr">
        <is>
          <t>Cartão parcelado</t>
        </is>
      </c>
      <c r="F4" s="2" t="inlineStr">
        <is>
          <t>A definir</t>
        </is>
      </c>
      <c r="G4" s="2" t="n">
        <v>3</v>
      </c>
      <c r="H4" s="2" t="inlineStr"/>
      <c r="I4" s="2" t="inlineStr"/>
    </row>
    <row r="5">
      <c r="A5" s="2" t="inlineStr">
        <is>
          <t>Xcaret</t>
        </is>
      </c>
      <c r="B5" s="2" t="inlineStr">
        <is>
          <t>08/06/2026</t>
        </is>
      </c>
      <c r="C5" s="2" t="inlineStr">
        <is>
          <t>Pendente</t>
        </is>
      </c>
      <c r="D5" s="4" t="inlineStr"/>
      <c r="E5" s="2" t="inlineStr">
        <is>
          <t>Cartão à vista</t>
        </is>
      </c>
      <c r="F5" s="2" t="inlineStr">
        <is>
          <t>A definir</t>
        </is>
      </c>
      <c r="G5" s="2" t="n">
        <v>1</v>
      </c>
      <c r="H5" s="2" t="inlineStr">
        <is>
          <t>https://www.xcaret.com/pt/</t>
        </is>
      </c>
      <c r="I5" s="2" t="inlineStr"/>
    </row>
    <row r="6">
      <c r="A6" s="2" t="inlineStr">
        <is>
          <t>Catamarã</t>
        </is>
      </c>
      <c r="B6" s="2" t="inlineStr">
        <is>
          <t>12/06/2026</t>
        </is>
      </c>
      <c r="C6" s="2" t="inlineStr">
        <is>
          <t>Pendente</t>
        </is>
      </c>
      <c r="D6" s="4" t="inlineStr"/>
      <c r="E6" s="2" t="inlineStr">
        <is>
          <t>Cartão à vista</t>
        </is>
      </c>
      <c r="F6" s="2" t="inlineStr">
        <is>
          <t>A definir</t>
        </is>
      </c>
      <c r="G6" s="2" t="n">
        <v>1</v>
      </c>
      <c r="H6" s="2" t="inlineStr">
        <is>
          <t>https://www.xcaret.com/en/xailing/catamaran-prime-tour/</t>
        </is>
      </c>
      <c r="I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5" t="inlineStr">
        <is>
          <t>Mês</t>
        </is>
      </c>
      <c r="B1" s="5" t="inlineStr">
        <is>
          <t>Gustavo</t>
        </is>
      </c>
      <c r="C1" s="5" t="inlineStr">
        <is>
          <t>Edineia</t>
        </is>
      </c>
      <c r="D1" s="5" t="inlineStr">
        <is>
          <t>Dividido/Cada um</t>
        </is>
      </c>
      <c r="E1" s="5" t="inlineStr">
        <is>
          <t>Total</t>
        </is>
      </c>
    </row>
    <row r="2">
      <c r="A2" s="2" t="inlineStr">
        <is>
          <t>Parcela 1</t>
        </is>
      </c>
      <c r="B2" s="4" t="n">
        <v>2029.67</v>
      </c>
      <c r="C2" s="4" t="n"/>
      <c r="D2" s="4" t="n"/>
      <c r="E2" s="4" t="n">
        <v>2029.67</v>
      </c>
    </row>
    <row r="3">
      <c r="A3" s="2" t="inlineStr">
        <is>
          <t>Parcela 2</t>
        </is>
      </c>
      <c r="B3" s="4" t="n">
        <v>2029.67</v>
      </c>
      <c r="C3" s="4" t="n"/>
      <c r="D3" s="4" t="n"/>
      <c r="E3" s="4" t="n">
        <v>2029.67</v>
      </c>
    </row>
    <row r="4">
      <c r="A4" s="2" t="inlineStr">
        <is>
          <t>Parcela 3</t>
        </is>
      </c>
      <c r="B4" s="4" t="n">
        <v>2029.67</v>
      </c>
      <c r="C4" s="4" t="n"/>
      <c r="D4" s="4" t="n"/>
      <c r="E4" s="4" t="n">
        <v>2029.67</v>
      </c>
    </row>
    <row r="5">
      <c r="A5" s="2" t="inlineStr">
        <is>
          <t>Parcela 4</t>
        </is>
      </c>
      <c r="B5" s="4" t="n">
        <v>0</v>
      </c>
      <c r="C5" s="4" t="n"/>
      <c r="D5" s="4" t="n"/>
      <c r="E5" s="4" t="n">
        <v>0</v>
      </c>
    </row>
    <row r="6">
      <c r="A6" s="2" t="inlineStr">
        <is>
          <t>Parcela 5</t>
        </is>
      </c>
      <c r="B6" s="4" t="n">
        <v>0</v>
      </c>
      <c r="C6" s="4" t="n"/>
      <c r="D6" s="4" t="n"/>
      <c r="E6" s="4" t="n">
        <v>0</v>
      </c>
    </row>
    <row r="7">
      <c r="A7" s="2" t="inlineStr">
        <is>
          <t>Parcela 6</t>
        </is>
      </c>
      <c r="B7" s="4" t="n">
        <v>0</v>
      </c>
      <c r="C7" s="4" t="n"/>
      <c r="D7" s="4" t="n"/>
      <c r="E7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  <col width="44" customWidth="1" min="5" max="5"/>
  </cols>
  <sheetData>
    <row r="1">
      <c r="A1" s="5" t="inlineStr">
        <is>
          <t>Categoria</t>
        </is>
      </c>
      <c r="B1" s="5" t="inlineStr">
        <is>
          <t>Item</t>
        </is>
      </c>
      <c r="C1" s="5" t="inlineStr">
        <is>
          <t>Status</t>
        </is>
      </c>
      <c r="D1" s="5" t="inlineStr">
        <is>
          <t>Prioridade</t>
        </is>
      </c>
      <c r="E1" s="5" t="inlineStr">
        <is>
          <t>Obs</t>
        </is>
      </c>
    </row>
    <row r="2">
      <c r="A2" s="2" t="inlineStr">
        <is>
          <t>Voo</t>
        </is>
      </c>
      <c r="B2" s="2" t="inlineStr">
        <is>
          <t>Passagem emitida</t>
        </is>
      </c>
      <c r="C2" s="2" t="inlineStr">
        <is>
          <t>Feito</t>
        </is>
      </c>
      <c r="D2" s="2" t="inlineStr">
        <is>
          <t>Alta</t>
        </is>
      </c>
      <c r="E2" s="2" t="inlineStr">
        <is>
          <t>Pago por Gustavo em 3x sem juros</t>
        </is>
      </c>
    </row>
    <row r="3">
      <c r="A3" s="2" t="inlineStr">
        <is>
          <t>Hotel</t>
        </is>
      </c>
      <c r="B3" s="2" t="inlineStr">
        <is>
          <t>Comprar hotel Playa 05–10/06</t>
        </is>
      </c>
      <c r="C3" s="2" t="inlineStr">
        <is>
          <t>Pendente</t>
        </is>
      </c>
      <c r="D3" s="2" t="inlineStr">
        <is>
          <t>Alta</t>
        </is>
      </c>
      <c r="E3" s="2" t="inlineStr">
        <is>
          <t>Filtro correto para reserva</t>
        </is>
      </c>
    </row>
    <row r="4">
      <c r="A4" s="2" t="inlineStr">
        <is>
          <t>Hotel</t>
        </is>
      </c>
      <c r="B4" s="2" t="inlineStr">
        <is>
          <t>Comprar hotel Cancún 10–16/06</t>
        </is>
      </c>
      <c r="C4" s="2" t="inlineStr">
        <is>
          <t>Pendente</t>
        </is>
      </c>
      <c r="D4" s="2" t="inlineStr">
        <is>
          <t>Alta</t>
        </is>
      </c>
      <c r="E4" s="2" t="inlineStr">
        <is>
          <t>Filtro correto para reserva</t>
        </is>
      </c>
    </row>
    <row r="5">
      <c r="A5" s="2" t="inlineStr">
        <is>
          <t>Financeiro</t>
        </is>
      </c>
      <c r="B5" s="2" t="inlineStr">
        <is>
          <t>Atualizar Wise / pesos mexicanos</t>
        </is>
      </c>
      <c r="C5" s="2" t="inlineStr">
        <is>
          <t>Pendente</t>
        </is>
      </c>
      <c r="D5" s="2" t="inlineStr">
        <is>
          <t>Alta</t>
        </is>
      </c>
      <c r="E5" s="2" t="inlineStr"/>
    </row>
    <row r="6">
      <c r="A6" s="2" t="inlineStr">
        <is>
          <t>Passeio</t>
        </is>
      </c>
      <c r="B6" s="2" t="inlineStr">
        <is>
          <t>Comprar Xcaret</t>
        </is>
      </c>
      <c r="C6" s="2" t="inlineStr">
        <is>
          <t>Pendente</t>
        </is>
      </c>
      <c r="D6" s="2" t="inlineStr">
        <is>
          <t>Alta</t>
        </is>
      </c>
      <c r="E6" s="2" t="inlineStr"/>
    </row>
    <row r="7">
      <c r="A7" s="2" t="inlineStr">
        <is>
          <t>Passeio</t>
        </is>
      </c>
      <c r="B7" s="2" t="inlineStr">
        <is>
          <t>Comprar catamarã/ferry</t>
        </is>
      </c>
      <c r="C7" s="2" t="inlineStr">
        <is>
          <t>Pendente</t>
        </is>
      </c>
      <c r="D7" s="2" t="inlineStr">
        <is>
          <t>Média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2026-05-23T20:05:52Z</dcterms:created>
  <dcterms:modified xmlns:dcterms="http://purl.org/dc/terms/" xmlns:xsi="http://www.w3.org/2001/XMLSchema-instance" xsi:type="dcterms:W3CDTF">2026-05-23T20:31:38Z</dcterms:modified>
</cp:coreProperties>
</file>