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7dd0b1fac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e50e9060b8e49b3"/>
    <x:sheet xmlns:r="http://schemas.openxmlformats.org/officeDocument/2006/relationships" name="Custos" sheetId="2" r:id="Rc6957deb5a4d4b77"/>
    <x:sheet xmlns:r="http://schemas.openxmlformats.org/officeDocument/2006/relationships" name="Reservas" sheetId="3" r:id="R244e1fc1c8ff4832"/>
    <x:sheet xmlns:r="http://schemas.openxmlformats.org/officeDocument/2006/relationships" name="Parcelas" sheetId="4" r:id="R14e572d8f6ac4bd8"/>
    <x:sheet xmlns:r="http://schemas.openxmlformats.org/officeDocument/2006/relationships" name="Checklist" sheetId="5" r:id="Rf9f064d5a8e6422e"/>
    <x:sheet xmlns:r="http://schemas.openxmlformats.org/officeDocument/2006/relationships" name="Listas" sheetId="6" r:id="Rbc0fd12420d441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$ #,##0"/>
    <x:numFmt numFmtId="201" formatCode="dd/mm/yyyy"/>
    <x:numFmt numFmtId="202" formatCode="0"/>
    <x:numFmt numFmtId="203" formatCode="mmm/yy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374151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2" borderId="0" xfId="0" applyNumberFormat="1" applyFont="1" applyFill="1" applyBorder="1"/>
    <x:xf numFmtId="200" fontId="1" fillId="2" borderId="0" xfId="0" applyNumberFormat="1" applyFont="1" applyFill="1" applyBorder="1"/>
    <x:xf numFmtId="200" fontId="0" fillId="2" borderId="1" xfId="0" applyNumberFormat="1" applyFont="1" applyFill="1" applyBorder="1"/>
    <x:xf numFmtId="200" fontId="1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837c746e7b488a" /><Relationship Type="http://schemas.openxmlformats.org/officeDocument/2006/relationships/theme" Target="/xl/theme/theme1.xml" Id="R4a1f2e54754e4552" /><Relationship Type="http://schemas.openxmlformats.org/officeDocument/2006/relationships/sharedStrings" Target="/xl/sharedStrings.xml" Id="R894d2c52b637424a" /><Relationship Type="http://schemas.openxmlformats.org/officeDocument/2006/relationships/worksheet" Target="/xl/worksheets/sheet1.xml" Id="R3e50e9060b8e49b3" /><Relationship Type="http://schemas.openxmlformats.org/officeDocument/2006/relationships/worksheet" Target="/xl/worksheets/sheet2.xml" Id="Rc6957deb5a4d4b77" /><Relationship Type="http://schemas.openxmlformats.org/officeDocument/2006/relationships/worksheet" Target="/xl/worksheets/sheet3.xml" Id="R244e1fc1c8ff4832" /><Relationship Type="http://schemas.openxmlformats.org/officeDocument/2006/relationships/worksheet" Target="/xl/worksheets/sheet4.xml" Id="R14e572d8f6ac4bd8" /><Relationship Type="http://schemas.openxmlformats.org/officeDocument/2006/relationships/worksheet" Target="/xl/worksheets/sheet5.xml" Id="Rf9f064d5a8e6422e" /><Relationship Type="http://schemas.openxmlformats.org/officeDocument/2006/relationships/worksheet" Target="/xl/worksheets/sheet6.xml" Id="Rbc0fd12420d4412d" /></Relationships>
</file>

<file path=xl/tables/table1.xml><?xml version="1.0" encoding="utf-8"?>
<x:table xmlns:x="http://schemas.openxmlformats.org/spreadsheetml/2006/main" id="1" name="CustosPagamentoTable" displayName="CustosPagamentoTable" ref="A1:M14" headerRowCount="1">
  <x:tableColumns count="13">
    <x:tableColumn id="1" name="Categoria"/>
    <x:tableColumn id="2" name="Item"/>
    <x:tableColumn id="3" name="Previsto mín."/>
    <x:tableColumn id="4" name="Previsto máx."/>
    <x:tableColumn id="5" name="Valor real"/>
    <x:tableColumn id="6" name="Status"/>
    <x:tableColumn id="7" name="Meio pagamento"/>
    <x:tableColumn id="8" name="Quem pagou"/>
    <x:tableColumn id="9" name="Data pagamento"/>
    <x:tableColumn id="10" name="Parcelas"/>
    <x:tableColumn id="11" name="Valor parcela"/>
    <x:tableColumn id="12" name="Última parcela"/>
    <x:tableColumn id="13" name="Observações"/>
  </x:tableColumns>
  <x:tableStyleInfo name="TableStyleMedium2" showRowStripes="1"/>
</x:table>
</file>

<file path=xl/tables/table2.xml><?xml version="1.0" encoding="utf-8"?>
<x:table xmlns:x="http://schemas.openxmlformats.org/spreadsheetml/2006/main" id="2" name="ReservasPagamentoTable" displayName="ReservasPagamentoTable" ref="A1:J6" headerRowCount="1">
  <x:tableColumns count="10">
    <x:tableColumn id="1" name="Reserva"/>
    <x:tableColumn id="2" name="Data"/>
    <x:tableColumn id="3" name="Status"/>
    <x:tableColumn id="4" name="Valor real"/>
    <x:tableColumn id="5" name="Meio pagamento"/>
    <x:tableColumn id="6" name="Quem pagou"/>
    <x:tableColumn id="7" name="Data pagamento"/>
    <x:tableColumn id="8" name="Parcelas"/>
    <x:tableColumn id="9" name="Link/Comprovante"/>
    <x:tableColumn id="10" name="Obs"/>
  </x:tableColumns>
  <x:tableStyleInfo name="TableStyleMedium2" showRowStripes="1"/>
</x:table>
</file>

<file path=xl/tables/table3.xml><?xml version="1.0" encoding="utf-8"?>
<x:table xmlns:x="http://schemas.openxmlformats.org/spreadsheetml/2006/main" id="3" name="ChecklistTable" displayName="ChecklistTable" ref="A1:E8" headerRowCount="1">
  <x:tableColumns count="5">
    <x:tableColumn id="1" name="Categoria"/>
    <x:tableColumn id="2" name="Item"/>
    <x:tableColumn id="3" name="Status"/>
    <x:tableColumn id="4" name="Prioridade"/>
    <x:tableColumn id="5" name="Ob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8c6209fa4f4e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485fe8affa43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a95dca6332149a7" /></Relationships>
</file>

<file path=xl/worksheets/sheet1.xml><?xml version="1.0" encoding="utf-8"?>
<x:worksheet xmlns:x="http://schemas.openxmlformats.org/spreadsheetml/2006/main">
  <x:sheetFormatPr defaultRowHeight="15"/>
  <x:cols>
    <x:col min="1" max="1" width="68.51000213623047" hidden="0" customWidth="1"/>
    <x:col min="2" max="2" width="21.670000076293945" hidden="0" customWidth="1"/>
    <x:col min="4" max="4" width="137.14999389648438" hidden="0" customWidth="1"/>
  </x:cols>
  <x:sheetData>
    <x:row r="1">
      <x:c r="A1" s="21" t="str">
        <x:v>Painel Vivo Financeiro — Playa del Carmen / Cancún 2026</x:v>
      </x:c>
    </x:row>
    <x:row r="3">
      <x:c r="A3" s="25" t="str">
        <x:v>Viagem</x:v>
      </x:c>
      <x:c r="B3" t="str">
        <x:v>06/06/2026 → 16/06/2026</x:v>
      </x:c>
      <x:c r="D3" s="3" t="str">
        <x:v>Uso inteligente</x:v>
      </x:c>
    </x:row>
    <x:row r="4">
      <x:c r="A4" s="25" t="str">
        <x:v>Total previsto mín.</x:v>
      </x:c>
      <x:c r="B4" s="8" t="n">
        <x:f>Custos!B18</x:f>
        <x:v>15320</x:v>
      </x:c>
      <x:c r="D4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E4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F4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G4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H4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</x:row>
    <x:row r="5">
      <x:c r="A5" s="25" t="str">
        <x:v>Total previsto máx.</x:v>
      </x:c>
      <x:c r="B5" s="8" t="n">
        <x:f>Custos!C18</x:f>
        <x:v>25930</x:v>
      </x:c>
      <x:c r="D5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E5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F5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G5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H5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</x:row>
    <x:row r="6">
      <x:c r="A6" s="25" t="str">
        <x:v>Total real</x:v>
      </x:c>
      <x:c r="B6" s="8" t="n">
        <x:f>Custos!D18</x:f>
        <x:v>0</x:v>
      </x:c>
      <x:c r="D6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E6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F6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G6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H6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</x:row>
    <x:row r="7">
      <x:c r="A7" s="25" t="str">
        <x:v>Gustavo pagou</x:v>
      </x:c>
      <x:c r="B7" s="8" t="n">
        <x:f>Custos!D20</x:f>
        <x:v>0</x:v>
      </x:c>
      <x:c r="D7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E7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F7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G7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H7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</x:row>
    <x:row r="8">
      <x:c r="A8" s="25" t="str">
        <x:v>Edineia pagou</x:v>
      </x:c>
      <x:c r="B8" s="8" t="n">
        <x:f>Custos!D21</x:f>
        <x:v>0</x:v>
      </x:c>
      <x:c r="D8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E8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F8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G8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  <x:c r="H8" s="28" t="str">
        <x:v>Os campos já vêm pré-populados com uma estratégia inteligente: custos maiores sugeridos no cartão parcelado, gastos menores no Wise/Pix, e pagador como A definir ou divisão. Ajuste Valor real, Data pagamento e Parcelas quando pagar.</x:v>
      </x:c>
    </x:row>
    <x:row r="9">
      <x:c r="A9" s="25" t="str">
        <x:v>Dividido/cada um</x:v>
      </x:c>
      <x:c r="B9" s="8" t="n">
        <x:f>Custos!D22</x:f>
        <x:v>0</x:v>
      </x:c>
    </x:row>
    <x:row r="10">
      <x:c r="A10" s="25" t="str">
        <x:v>Próxima parcela</x:v>
      </x:c>
      <x:c r="B10" s="10" t="str">
        <x:f>IFERROR(MINIFS(Custos!L2:L14,Custos!L2:L14,"&gt;="&amp;TODAY()),"—")</x:f>
        <x:v>—</x:v>
      </x:c>
    </x:row>
  </x:sheetData>
  <x:mergeCells>
    <x:mergeCell ref="A1:H1"/>
    <x:mergeCell ref="D3:H3"/>
    <x:mergeCell ref="D4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32" hidden="0" customWidth="1"/>
    <x:col min="3" max="3" width="13.319999694824219" hidden="0" customWidth="1"/>
    <x:col min="4" max="4" width="13.729999542236328" hidden="0" customWidth="1"/>
    <x:col min="5" max="5" width="10.5" hidden="0" customWidth="1"/>
    <x:col min="6" max="6" width="9.6899995803833" hidden="0" customWidth="1"/>
    <x:col min="7" max="7" width="16.549999237060547" hidden="0" customWidth="1"/>
    <x:col min="8" max="8" width="13.1899995803833" hidden="0" customWidth="1"/>
    <x:col min="9" max="9" width="16.149999618530273" hidden="0" customWidth="1"/>
    <x:col min="10" max="10" width="9.289999961853027" hidden="0" customWidth="1"/>
    <x:col min="11" max="11" width="13.319999694824219" hidden="0" customWidth="1"/>
    <x:col min="12" max="12" width="14.539999961853027" hidden="0" customWidth="1"/>
    <x:col min="13" max="13" width="34" hidden="0" customWidth="1"/>
  </x:cols>
  <x:sheetData>
    <x:row r="1">
      <x:c r="A1" s="6" t="str">
        <x:v>Categoria</x:v>
      </x:c>
      <x:c r="B1" s="6" t="str">
        <x:v>Item</x:v>
      </x:c>
      <x:c r="C1" s="6" t="str">
        <x:v>Previsto mín.</x:v>
      </x:c>
      <x:c r="D1" s="6" t="str">
        <x:v>Previsto máx.</x:v>
      </x:c>
      <x:c r="E1" s="6" t="str">
        <x:v>Valor real</x:v>
      </x:c>
      <x:c r="F1" s="6" t="str">
        <x:v>Status</x:v>
      </x:c>
      <x:c r="G1" s="6" t="str">
        <x:v>Meio pagamento</x:v>
      </x:c>
      <x:c r="H1" s="6" t="str">
        <x:v>Quem pagou</x:v>
      </x:c>
      <x:c r="I1" s="6" t="str">
        <x:v>Data pagamento</x:v>
      </x:c>
      <x:c r="J1" s="6" t="str">
        <x:v>Parcelas</x:v>
      </x:c>
      <x:c r="K1" s="6" t="str">
        <x:v>Valor parcela</x:v>
      </x:c>
      <x:c r="L1" s="6" t="str">
        <x:v>Última parcela</x:v>
      </x:c>
      <x:c r="M1" s="6" t="str">
        <x:v>Observações</x:v>
      </x:c>
    </x:row>
    <x:row r="2">
      <x:c r="A2" t="str">
        <x:v>Voos</x:v>
      </x:c>
      <x:c r="B2" t="str">
        <x:v>GRU → CUN via Panamá</x:v>
      </x:c>
      <x:c r="C2" s="8" t="n">
        <x:v>3500</x:v>
      </x:c>
      <x:c r="D2" s="8" t="n">
        <x:v>4000</x:v>
      </x:c>
      <x:c r="E2" s="8" t="str"/>
      <x:c r="F2" t="str">
        <x:v>Pendente</x:v>
      </x:c>
      <x:c r="G2" t="str">
        <x:v>Cartão parcelado</x:v>
      </x:c>
      <x:c r="H2" t="str">
        <x:v>A definir</x:v>
      </x:c>
      <x:c r="I2" s="10" t="str"/>
      <x:c r="J2" s="12" t="n">
        <x:v>3</x:v>
      </x:c>
      <x:c r="K2" s="8" t="n">
        <x:f>IFERROR(E2/J2,"")</x:f>
        <x:v>0</x:v>
      </x:c>
      <x:c r="L2" s="10" t="str">
        <x:f>IF(OR(I2="",J2=""),"",EDATE(I2,J2-1))</x:f>
      </x:c>
      <x:c r="M2" t="str">
        <x:v>Com bagagem despachada Sugerido parcelar por ser maior custo fixo.</x:v>
      </x:c>
    </x:row>
    <x:row r="3">
      <x:c r="A3" t="str">
        <x:v>Hotel</x:v>
      </x:c>
      <x:c r="B3" t="str">
        <x:v>Playa del Carmen 06–11/06</x:v>
      </x:c>
      <x:c r="C3" s="8" t="n">
        <x:v>3500</x:v>
      </x:c>
      <x:c r="D3" s="8" t="n">
        <x:v>6000</x:v>
      </x:c>
      <x:c r="E3" s="8" t="str"/>
      <x:c r="F3" t="str">
        <x:v>Pendente</x:v>
      </x:c>
      <x:c r="G3" t="str">
        <x:v>Cartão parcelado</x:v>
      </x:c>
      <x:c r="H3" t="str">
        <x:v>A definir</x:v>
      </x:c>
      <x:c r="I3" s="10" t="str"/>
      <x:c r="J3" s="12" t="n">
        <x:v>3</x:v>
      </x:c>
      <x:c r="K3" s="8" t="n">
        <x:f>IFERROR(E3/J3,"")</x:f>
        <x:v>0</x:v>
      </x:c>
      <x:c r="L3" s="10" t="str">
        <x:f>IF(OR(I3="",J3=""),"",EDATE(I3,J3-1))</x:f>
      </x:c>
      <x:c r="M3" t="str">
        <x:v>5 noites Reservar com cancelamento grátis se possível.</x:v>
      </x:c>
    </x:row>
    <x:row r="4">
      <x:c r="A4" t="str">
        <x:v>Hotel</x:v>
      </x:c>
      <x:c r="B4" t="str">
        <x:v>Cancún 11–16/06</x:v>
      </x:c>
      <x:c r="C4" s="8" t="n">
        <x:v>2100</x:v>
      </x:c>
      <x:c r="D4" s="8" t="n">
        <x:v>3200</x:v>
      </x:c>
      <x:c r="E4" s="8" t="str"/>
      <x:c r="F4" t="str">
        <x:v>Pendente</x:v>
      </x:c>
      <x:c r="G4" t="str">
        <x:v>Cartão parcelado</x:v>
      </x:c>
      <x:c r="H4" t="str">
        <x:v>A definir</x:v>
      </x:c>
      <x:c r="I4" s="10" t="str"/>
      <x:c r="J4" s="12" t="n">
        <x:v>3</x:v>
      </x:c>
      <x:c r="K4" s="8" t="n">
        <x:f>IFERROR(E4/J4,"")</x:f>
        <x:v>0</x:v>
      </x:c>
      <x:c r="L4" s="10" t="str">
        <x:f>IF(OR(I4="",J4=""),"",EDATE(I4,J4-1))</x:f>
      </x:c>
      <x:c r="M4" t="str">
        <x:v>Wyndham/Fairfield/Krystal/Emporio Comparar Downtown premium x Zona Hoteleira antes de fechar.</x:v>
      </x:c>
    </x:row>
    <x:row r="5">
      <x:c r="A5" t="str">
        <x:v>Passeio</x:v>
      </x:c>
      <x:c r="B5" t="str">
        <x:v>Xcaret</x:v>
      </x:c>
      <x:c r="C5" s="8" t="n">
        <x:v>600</x:v>
      </x:c>
      <x:c r="D5" s="8" t="n">
        <x:v>950</x:v>
      </x:c>
      <x:c r="E5" s="8" t="str"/>
      <x:c r="F5" t="str">
        <x:v>Pendente</x:v>
      </x:c>
      <x:c r="G5" t="str">
        <x:v>Cartão à vista</x:v>
      </x:c>
      <x:c r="H5" t="str">
        <x:v>A definir</x:v>
      </x:c>
      <x:c r="I5" s="10" t="str"/>
      <x:c r="J5" s="12" t="n">
        <x:v>1</x:v>
      </x:c>
      <x:c r="K5" s="8" t="n">
        <x:f>IFERROR(E5/J5,"")</x:f>
        <x:v>0</x:v>
      </x:c>
      <x:c r="L5" s="10" t="str">
        <x:f>IF(OR(I5="",J5=""),"",EDATE(I5,J5-1))</x:f>
      </x:c>
      <x:c r="M5" t="str">
        <x:v>Comprar antecipado se aparecer promoção.</x:v>
      </x:c>
    </x:row>
    <x:row r="6">
      <x:c r="A6" t="str">
        <x:v>Passeio</x:v>
      </x:c>
      <x:c r="B6" t="str">
        <x:v>Cozumel + snorkel</x:v>
      </x:c>
      <x:c r="C6" s="8" t="n">
        <x:v>700</x:v>
      </x:c>
      <x:c r="D6" s="8" t="n">
        <x:v>1200</x:v>
      </x:c>
      <x:c r="E6" s="8" t="str"/>
      <x:c r="F6" t="str">
        <x:v>Pendente</x:v>
      </x:c>
      <x:c r="G6" t="str">
        <x:v>Wise</x:v>
      </x:c>
      <x:c r="H6" t="str">
        <x:v>A definir</x:v>
      </x:c>
      <x:c r="I6" s="10" t="str"/>
      <x:c r="J6" s="12" t="n">
        <x:v>1</x:v>
      </x:c>
      <x:c r="K6" s="8" t="n">
        <x:f>IFERROR(E6/J6,"")</x:f>
        <x:v>0</x:v>
      </x:c>
      <x:c r="L6" s="10" t="str">
        <x:f>IF(OR(I6="",J6=""),"",EDATE(I6,J6-1))</x:f>
      </x:c>
      <x:c r="M6" t="str">
        <x:v>Pode variar conforme operador do passeio.</x:v>
      </x:c>
    </x:row>
    <x:row r="7">
      <x:c r="A7" t="str">
        <x:v>Passeio</x:v>
      </x:c>
      <x:c r="B7" t="str">
        <x:v>Catamarã Isla Mujeres</x:v>
      </x:c>
      <x:c r="C7" s="8" t="n">
        <x:v>300</x:v>
      </x:c>
      <x:c r="D7" s="8" t="n">
        <x:v>680</x:v>
      </x:c>
      <x:c r="E7" s="8" t="str"/>
      <x:c r="F7" t="str">
        <x:v>Pendente</x:v>
      </x:c>
      <x:c r="G7" t="str">
        <x:v>Cartão à vista</x:v>
      </x:c>
      <x:c r="H7" t="str">
        <x:v>A definir</x:v>
      </x:c>
      <x:c r="I7" s="10" t="str"/>
      <x:c r="J7" s="12" t="n">
        <x:v>1</x:v>
      </x:c>
      <x:c r="K7" s="8" t="n">
        <x:f>IFERROR(E7/J7,"")</x:f>
        <x:v>0</x:v>
      </x:c>
      <x:c r="L7" s="10" t="str">
        <x:f>IF(OR(I7="",J7=""),"",EDATE(I7,J7-1))</x:f>
      </x:c>
      <x:c r="M7" t="str">
        <x:v>Confirmar ponto de saída e política de clima.</x:v>
      </x:c>
    </x:row>
    <x:row r="8">
      <x:c r="A8" t="str">
        <x:v>Passeio</x:v>
      </x:c>
      <x:c r="B8" t="str">
        <x:v>Ferry Isla Mujeres</x:v>
      </x:c>
      <x:c r="C8" s="8" t="n">
        <x:v>80</x:v>
      </x:c>
      <x:c r="D8" s="8" t="n">
        <x:v>160</x:v>
      </x:c>
      <x:c r="E8" s="8" t="str"/>
      <x:c r="F8" t="str">
        <x:v>Pendente</x:v>
      </x:c>
      <x:c r="G8" t="str">
        <x:v>Wise</x:v>
      </x:c>
      <x:c r="H8" t="str">
        <x:v>Cada um pagou o seu</x:v>
      </x:c>
      <x:c r="I8" s="10" t="str"/>
      <x:c r="J8" s="12" t="n">
        <x:v>1</x:v>
      </x:c>
      <x:c r="K8" s="8" t="n">
        <x:f>IFERROR(E8/J8,"")</x:f>
        <x:v>0</x:v>
      </x:c>
      <x:c r="L8" s="10" t="str">
        <x:f>IF(OR(I8="",J8=""),"",EDATE(I8,J8-1))</x:f>
      </x:c>
      <x:c r="M8" t="str">
        <x:v>Ferry pode ser pago separado por pessoa.</x:v>
      </x:c>
    </x:row>
    <x:row r="9">
      <x:c r="A9" t="str">
        <x:v>Passeio</x:v>
      </x:c>
      <x:c r="B9" t="str">
        <x:v>Lancha transparente</x:v>
      </x:c>
      <x:c r="C9" s="8" t="n">
        <x:v>140</x:v>
      </x:c>
      <x:c r="D9" s="8" t="n">
        <x:v>260</x:v>
      </x:c>
      <x:c r="E9" s="8" t="str"/>
      <x:c r="F9" t="str">
        <x:v>Opcional</x:v>
      </x:c>
      <x:c r="G9" t="str">
        <x:v>Wise</x:v>
      </x:c>
      <x:c r="H9" t="str">
        <x:v>A definir</x:v>
      </x:c>
      <x:c r="I9" s="10" t="str"/>
      <x:c r="J9" s="12" t="n">
        <x:v>1</x:v>
      </x:c>
      <x:c r="K9" s="8" t="n">
        <x:f>IFERROR(E9/J9,"")</x:f>
        <x:v>0</x:v>
      </x:c>
      <x:c r="L9" s="10" t="str">
        <x:f>IF(OR(I9="",J9=""),"",EDATE(I9,J9-1))</x:f>
      </x:c>
      <x:c r="M9" t="str">
        <x:v>Opcional; encaixar no dia 14 se fizer sentido.</x:v>
      </x:c>
    </x:row>
    <x:row r="10">
      <x:c r="A10" t="str">
        <x:v>Passeio</x:v>
      </x:c>
      <x:c r="B10" t="str">
        <x:v>Coco Bongo</x:v>
      </x:c>
      <x:c r="C10" s="8" t="n">
        <x:v>400</x:v>
      </x:c>
      <x:c r="D10" s="8" t="n">
        <x:v>680</x:v>
      </x:c>
      <x:c r="E10" s="8" t="str"/>
      <x:c r="F10" t="str">
        <x:v>Opcional</x:v>
      </x:c>
      <x:c r="G10" t="str">
        <x:v>Cartão à vista</x:v>
      </x:c>
      <x:c r="H10" t="str">
        <x:v>A definir</x:v>
      </x:c>
      <x:c r="I10" s="10" t="str"/>
      <x:c r="J10" s="12" t="n">
        <x:v>1</x:v>
      </x:c>
      <x:c r="K10" s="8" t="n">
        <x:f>IFERROR(E10/J10,"")</x:f>
        <x:v>0</x:v>
      </x:c>
      <x:c r="L10" s="10" t="str">
        <x:f>IF(OR(I10="",J10=""),"",EDATE(I10,J10-1))</x:f>
      </x:c>
      <x:c r="M10" t="str">
        <x:v>Opcional; avaliar orçamento final.</x:v>
      </x:c>
    </x:row>
    <x:row r="11">
      <x:c r="A11" t="str">
        <x:v>Compras</x:v>
      </x:c>
      <x:c r="B11" t="str">
        <x:v>Walmart/snacks/farmácia</x:v>
      </x:c>
      <x:c r="C11" s="8" t="n">
        <x:v>800</x:v>
      </x:c>
      <x:c r="D11" s="8" t="n">
        <x:v>1800</x:v>
      </x:c>
      <x:c r="E11" s="8" t="str"/>
      <x:c r="F11" t="str">
        <x:v>Pendente</x:v>
      </x:c>
      <x:c r="G11" t="str">
        <x:v>Wise</x:v>
      </x:c>
      <x:c r="H11" t="str">
        <x:v>Cada um pagou o seu</x:v>
      </x:c>
      <x:c r="I11" s="10" t="str"/>
      <x:c r="J11" s="12" t="n">
        <x:v>1</x:v>
      </x:c>
      <x:c r="K11" s="8" t="n">
        <x:f>IFERROR(E11/J11,"")</x:f>
        <x:v>0</x:v>
      </x:c>
      <x:c r="L11" s="10" t="str">
        <x:f>IF(OR(I11="",J11=""),"",EDATE(I11,J11-1))</x:f>
      </x:c>
      <x:c r="M11" t="str">
        <x:v>Compras do dia a dia podem ser divididas.</x:v>
      </x:c>
    </x:row>
    <x:row r="12">
      <x:c r="A12" t="str">
        <x:v>Alimentação</x:v>
      </x:c>
      <x:c r="B12" t="str">
        <x:v>Restaurantes e lanches</x:v>
      </x:c>
      <x:c r="C12" s="8" t="n">
        <x:v>1500</x:v>
      </x:c>
      <x:c r="D12" s="8" t="n">
        <x:v>3000</x:v>
      </x:c>
      <x:c r="E12" s="8" t="str"/>
      <x:c r="F12" t="str">
        <x:v>Pendente</x:v>
      </x:c>
      <x:c r="G12" t="str">
        <x:v>Wise</x:v>
      </x:c>
      <x:c r="H12" t="str">
        <x:v>Cada um pagou o seu</x:v>
      </x:c>
      <x:c r="I12" s="10" t="str"/>
      <x:c r="J12" s="12" t="n">
        <x:v>1</x:v>
      </x:c>
      <x:c r="K12" s="8" t="n">
        <x:f>IFERROR(E12/J12,"")</x:f>
        <x:v>0</x:v>
      </x:c>
      <x:c r="L12" s="10" t="str">
        <x:f>IF(OR(I12="",J12=""),"",EDATE(I12,J12-1))</x:f>
      </x:c>
      <x:c r="M12" t="str">
        <x:v>Gastos pequenos durante a viagem.</x:v>
      </x:c>
    </x:row>
    <x:row r="13">
      <x:c r="A13" t="str">
        <x:v>Transporte</x:v>
      </x:c>
      <x:c r="B13" t="str">
        <x:v>Uber/ADO/transfer</x:v>
      </x:c>
      <x:c r="C13" s="8" t="n">
        <x:v>700</x:v>
      </x:c>
      <x:c r="D13" s="8" t="n">
        <x:v>1500</x:v>
      </x:c>
      <x:c r="E13" s="8" t="str"/>
      <x:c r="F13" t="str">
        <x:v>Pendente</x:v>
      </x:c>
      <x:c r="G13" t="str">
        <x:v>Wise</x:v>
      </x:c>
      <x:c r="H13" t="str">
        <x:v>Cada um pagou o seu</x:v>
      </x:c>
      <x:c r="I13" s="10" t="str"/>
      <x:c r="J13" s="12" t="n">
        <x:v>1</x:v>
      </x:c>
      <x:c r="K13" s="8" t="n">
        <x:f>IFERROR(E13/J13,"")</x:f>
        <x:v>0</x:v>
      </x:c>
      <x:c r="L13" s="10" t="str">
        <x:f>IF(OR(I13="",J13=""),"",EDATE(I13,J13-1))</x:f>
      </x:c>
      <x:c r="M13" t="str">
        <x:v>Uber/ADO/transfer conforme logística.</x:v>
      </x:c>
    </x:row>
    <x:row r="14">
      <x:c r="A14" t="str">
        <x:v>Reserva</x:v>
      </x:c>
      <x:c r="B14" t="str">
        <x:v>Margem/emergência</x:v>
      </x:c>
      <x:c r="C14" s="8" t="n">
        <x:v>1000</x:v>
      </x:c>
      <x:c r="D14" s="8" t="n">
        <x:v>2500</x:v>
      </x:c>
      <x:c r="E14" s="8" t="str"/>
      <x:c r="F14" t="str">
        <x:v>Pendente</x:v>
      </x:c>
      <x:c r="G14" t="str">
        <x:v>A definir</x:v>
      </x:c>
      <x:c r="H14" t="str">
        <x:v>Dividido 50/50</x:v>
      </x:c>
      <x:c r="I14" s="10" t="str"/>
      <x:c r="J14" s="12" t="n">
        <x:v>1</x:v>
      </x:c>
      <x:c r="K14" s="8" t="n">
        <x:f>IFERROR(E14/J14,"")</x:f>
        <x:v>0</x:v>
      </x:c>
      <x:c r="L14" s="10" t="str">
        <x:f>IF(OR(I14="",J14=""),"",EDATE(I14,J14-1))</x:f>
      </x:c>
      <x:c r="M14" t="str">
        <x:v>Reserva para imprevistos.</x:v>
      </x:c>
    </x:row>
    <x:row r="15">
      <x:c r="C15" s="8"/>
      <x:c r="D15" s="8"/>
      <x:c r="E15" s="8"/>
      <x:c r="I15" s="10"/>
      <x:c r="J15" s="12"/>
      <x:c r="K15" s="8" t="str">
        <x:f>IFERROR(E15/J15,"")</x:f>
      </x:c>
      <x:c r="L15" s="10" t="str">
        <x:f>IF(OR(I15="",J15=""),"",EDATE(I15,J15-1))</x:f>
      </x:c>
    </x:row>
    <x:row r="16">
      <x:c r="C16" s="8"/>
      <x:c r="D16" s="8"/>
      <x:c r="E16" s="8"/>
      <x:c r="I16" s="10"/>
      <x:c r="J16" s="12"/>
      <x:c r="K16" s="8" t="str">
        <x:f>IFERROR(E16/J16,"")</x:f>
      </x:c>
      <x:c r="L16" s="10" t="str">
        <x:f>IF(OR(I16="",J16=""),"",EDATE(I16,J16-1))</x:f>
      </x:c>
    </x:row>
    <x:row r="17">
      <x:c r="A17" s="3" t="str">
        <x:v>Resumo financeiro</x:v>
      </x:c>
      <x:c r="B17" s="3" t="str">
        <x:v>Mínimo</x:v>
      </x:c>
      <x:c r="C17" s="15" t="str">
        <x:v>Máximo</x:v>
      </x:c>
      <x:c r="D17" s="15" t="str">
        <x:v>Real</x:v>
      </x:c>
      <x:c r="E17" s="15" t="str">
        <x:v>Observação</x:v>
      </x:c>
      <x:c r="I17" s="10"/>
      <x:c r="J17" s="12"/>
      <x:c r="K17" s="8" t="str">
        <x:f>IFERROR(E17/J17,"")</x:f>
      </x:c>
      <x:c r="L17" s="10" t="str">
        <x:f>IF(OR(I17="",J17=""),"",EDATE(I17,J17-1))</x:f>
      </x:c>
    </x:row>
    <x:row r="18">
      <x:c r="A18" t="str">
        <x:v>Total geral</x:v>
      </x:c>
      <x:c r="B18" s="8" t="n">
        <x:f>SUM(C2:C14)</x:f>
        <x:v>15320</x:v>
      </x:c>
      <x:c r="C18" s="8" t="n">
        <x:f>SUM(D2:D14)</x:f>
        <x:v>25930</x:v>
      </x:c>
      <x:c r="D18" s="8" t="n">
        <x:f>SUM(E2:E14)</x:f>
        <x:v>0</x:v>
      </x:c>
      <x:c r="E18" s="8"/>
      <x:c r="I18" s="10"/>
      <x:c r="J18" s="12"/>
      <x:c r="K18" s="8" t="str">
        <x:f>IFERROR(E18/J18,"")</x:f>
      </x:c>
      <x:c r="L18" s="10" t="str">
        <x:f>IF(OR(I18="",J18=""),"",EDATE(I18,J18-1))</x:f>
      </x:c>
    </x:row>
    <x:row r="19">
      <x:c r="A19" t="str">
        <x:v>Total por pessoa</x:v>
      </x:c>
      <x:c r="B19" s="8" t="n">
        <x:f>B18/2</x:f>
        <x:v>7660</x:v>
      </x:c>
      <x:c r="C19" s="8" t="n">
        <x:f>C18/2</x:f>
        <x:v>12965</x:v>
      </x:c>
      <x:c r="D19" s="8" t="n">
        <x:f>D18/2</x:f>
        <x:v>0</x:v>
      </x:c>
      <x:c r="E19" s="8"/>
      <x:c r="I19" s="10"/>
      <x:c r="J19" s="12"/>
      <x:c r="K19" s="8" t="str">
        <x:f>IFERROR(E19/J19,"")</x:f>
      </x:c>
      <x:c r="L19" s="10" t="str">
        <x:f>IF(OR(I19="",J19=""),"",EDATE(I19,J19-1))</x:f>
      </x:c>
    </x:row>
    <x:row r="20">
      <x:c r="A20" t="str">
        <x:v>Pago por Gustavo</x:v>
      </x:c>
      <x:c r="B20" s="8"/>
      <x:c r="C20" s="8"/>
      <x:c r="D20" s="8" t="n">
        <x:f>SUMIF(H2:H14,"Gustavo",E2:E14)</x:f>
        <x:v>0</x:v>
      </x:c>
      <x:c r="E20" s="8"/>
      <x:c r="I20" s="10"/>
      <x:c r="J20" s="12"/>
      <x:c r="K20" s="8" t="str">
        <x:f>IFERROR(E20/J20,"")</x:f>
      </x:c>
      <x:c r="L20" s="10" t="str">
        <x:f>IF(OR(I20="",J20=""),"",EDATE(I20,J20-1))</x:f>
      </x:c>
    </x:row>
    <x:row r="21">
      <x:c r="A21" t="str">
        <x:v>Pago por Edineia</x:v>
      </x:c>
      <x:c r="B21" s="8"/>
      <x:c r="C21" s="8"/>
      <x:c r="D21" s="8" t="n">
        <x:f>SUMIF(H2:H14,"Edineia",E2:E14)</x:f>
        <x:v>0</x:v>
      </x:c>
      <x:c r="E21" s="8"/>
      <x:c r="I21" s="10"/>
      <x:c r="J21" s="12"/>
      <x:c r="K21" s="8" t="str">
        <x:f>IFERROR(E21/J21,"")</x:f>
      </x:c>
      <x:c r="L21" s="10" t="str">
        <x:f>IF(OR(I21="",J21=""),"",EDATE(I21,J21-1))</x:f>
      </x:c>
    </x:row>
    <x:row r="22">
      <x:c r="A22" t="str">
        <x:v>Cada um / dividido</x:v>
      </x:c>
      <x:c r="B22" s="8"/>
      <x:c r="C22" s="8"/>
      <x:c r="D22" s="8" t="n">
        <x:f>SUMIF(H2:H14,"Cada um pagou o seu",E2:E14)+SUMIF(H2:H14,"Dividido 50/50",E2:E14)</x:f>
        <x:v>0</x:v>
      </x:c>
      <x:c r="E22" s="8"/>
      <x:c r="I22" s="10"/>
      <x:c r="J22" s="12"/>
      <x:c r="K22" s="8" t="str">
        <x:f>IFERROR(E22/J22,"")</x:f>
      </x:c>
      <x:c r="L22" s="10" t="str">
        <x:f>IF(OR(I22="",J22=""),"",EDATE(I22,J22-1))</x:f>
      </x:c>
    </x:row>
    <x:row r="23">
      <x:c r="A23" t="str">
        <x:v>Próxima parcela até</x:v>
      </x:c>
      <x:c r="C23" s="8"/>
      <x:c r="D23" s="10" t="str">
        <x:f>IFERROR(MINIFS(L2:L14,L2:L14,"&gt;="&amp;TODAY()),"—")</x:f>
        <x:v>—</x:v>
      </x:c>
      <x:c r="E23" s="8"/>
      <x:c r="I23" s="10"/>
      <x:c r="J23" s="12"/>
      <x:c r="K23" s="8" t="str">
        <x:f>IFERROR(E23/J23,"")</x:f>
      </x:c>
      <x:c r="L23" s="10" t="str">
        <x:f>IF(OR(I23="",J23=""),"",EDATE(I23,J23-1))</x:f>
      </x:c>
    </x:row>
    <x:row r="24">
      <x:c r="C24" s="8"/>
      <x:c r="D24" s="8"/>
      <x:c r="E24" s="8"/>
      <x:c r="I24" s="10"/>
      <x:c r="J24" s="12"/>
      <x:c r="K24" s="8" t="str">
        <x:f>IFERROR(E24/J24,"")</x:f>
      </x:c>
      <x:c r="L24" s="10" t="str">
        <x:f>IF(OR(I24="",J24=""),"",EDATE(I24,J24-1))</x:f>
      </x:c>
    </x:row>
    <x:row r="25">
      <x:c r="C25" s="8"/>
      <x:c r="D25" s="8"/>
      <x:c r="E25" s="8"/>
      <x:c r="I25" s="10"/>
      <x:c r="J25" s="12"/>
      <x:c r="K25" s="8" t="str">
        <x:f>IFERROR(E25/J25,"")</x:f>
      </x:c>
      <x:c r="L25" s="10" t="str">
        <x:f>IF(OR(I25="",J25=""),"",EDATE(I25,J25-1))</x:f>
      </x:c>
    </x:row>
    <x:row r="26">
      <x:c r="C26" s="8"/>
      <x:c r="D26" s="8"/>
      <x:c r="E26" s="8"/>
      <x:c r="I26" s="10"/>
      <x:c r="J26" s="12"/>
      <x:c r="K26" s="8" t="str">
        <x:f>IFERROR(E26/J26,"")</x:f>
      </x:c>
      <x:c r="L26" s="10" t="str">
        <x:f>IF(OR(I26="",J26=""),"",EDATE(I26,J26-1))</x:f>
      </x:c>
    </x:row>
    <x:row r="27">
      <x:c r="C27" s="8"/>
      <x:c r="D27" s="8"/>
      <x:c r="E27" s="8"/>
      <x:c r="I27" s="10"/>
      <x:c r="J27" s="12"/>
      <x:c r="K27" s="8" t="str">
        <x:f>IFERROR(E27/J27,"")</x:f>
      </x:c>
      <x:c r="L27" s="10" t="str">
        <x:f>IF(OR(I27="",J27=""),"",EDATE(I27,J27-1))</x:f>
      </x:c>
    </x:row>
    <x:row r="28">
      <x:c r="C28" s="8"/>
      <x:c r="D28" s="8"/>
      <x:c r="E28" s="8"/>
      <x:c r="I28" s="10"/>
      <x:c r="J28" s="12"/>
      <x:c r="K28" s="8" t="str">
        <x:f>IFERROR(E28/J28,"")</x:f>
      </x:c>
      <x:c r="L28" s="10" t="str">
        <x:f>IF(OR(I28="",J28=""),"",EDATE(I28,J28-1))</x:f>
      </x:c>
    </x:row>
    <x:row r="29">
      <x:c r="C29" s="8"/>
      <x:c r="D29" s="8"/>
      <x:c r="E29" s="8"/>
      <x:c r="I29" s="10"/>
      <x:c r="J29" s="12"/>
      <x:c r="K29" s="8" t="str">
        <x:f>IFERROR(E29/J29,"")</x:f>
      </x:c>
      <x:c r="L29" s="10" t="str">
        <x:f>IF(OR(I29="",J29=""),"",EDATE(I29,J29-1))</x:f>
      </x:c>
    </x:row>
    <x:row r="30">
      <x:c r="C30" s="8"/>
      <x:c r="D30" s="8"/>
      <x:c r="E30" s="8"/>
      <x:c r="I30" s="10"/>
      <x:c r="J30" s="12"/>
      <x:c r="K30" s="8" t="str">
        <x:f>IFERROR(E30/J30,"")</x:f>
      </x:c>
      <x:c r="L30" s="10" t="str">
        <x:f>IF(OR(I30="",J30=""),"",EDATE(I30,J30-1))</x:f>
      </x:c>
    </x:row>
    <x:row r="31">
      <x:c r="C31" s="8"/>
      <x:c r="D31" s="8"/>
      <x:c r="E31" s="8"/>
      <x:c r="I31" s="10"/>
      <x:c r="J31" s="12"/>
      <x:c r="K31" s="8" t="str">
        <x:f>IFERROR(E31/J31,"")</x:f>
      </x:c>
      <x:c r="L31" s="10" t="str">
        <x:f>IF(OR(I31="",J31=""),"",EDATE(I31,J31-1))</x:f>
      </x:c>
    </x:row>
    <x:row r="32">
      <x:c r="C32" s="8"/>
      <x:c r="D32" s="8"/>
      <x:c r="E32" s="8"/>
      <x:c r="I32" s="10"/>
      <x:c r="J32" s="12"/>
      <x:c r="K32" s="8" t="str">
        <x:f>IFERROR(E32/J32,"")</x:f>
      </x:c>
      <x:c r="L32" s="10" t="str">
        <x:f>IF(OR(I32="",J32=""),"",EDATE(I32,J32-1))</x:f>
      </x:c>
    </x:row>
    <x:row r="33">
      <x:c r="C33" s="8"/>
      <x:c r="D33" s="8"/>
      <x:c r="E33" s="8"/>
      <x:c r="I33" s="10"/>
      <x:c r="J33" s="12"/>
      <x:c r="K33" s="8" t="str">
        <x:f>IFERROR(E33/J33,"")</x:f>
      </x:c>
      <x:c r="L33" s="10" t="str">
        <x:f>IF(OR(I33="",J33=""),"",EDATE(I33,J33-1))</x:f>
      </x:c>
    </x:row>
    <x:row r="34">
      <x:c r="C34" s="8"/>
      <x:c r="D34" s="8"/>
      <x:c r="E34" s="8"/>
      <x:c r="I34" s="10"/>
      <x:c r="J34" s="12"/>
      <x:c r="K34" s="8" t="str">
        <x:f>IFERROR(E34/J34,"")</x:f>
      </x:c>
      <x:c r="L34" s="10" t="str">
        <x:f>IF(OR(I34="",J34=""),"",EDATE(I34,J34-1))</x:f>
      </x:c>
    </x:row>
    <x:row r="35">
      <x:c r="C35" s="8"/>
      <x:c r="D35" s="8"/>
      <x:c r="E35" s="8"/>
      <x:c r="I35" s="10"/>
      <x:c r="J35" s="12"/>
      <x:c r="K35" s="8" t="str">
        <x:f>IFERROR(E35/J35,"")</x:f>
      </x:c>
      <x:c r="L35" s="10" t="str">
        <x:f>IF(OR(I35="",J35=""),"",EDATE(I35,J35-1))</x:f>
      </x:c>
    </x:row>
    <x:row r="36">
      <x:c r="C36" s="8"/>
      <x:c r="D36" s="8"/>
      <x:c r="E36" s="8"/>
      <x:c r="I36" s="10"/>
      <x:c r="J36" s="12"/>
      <x:c r="K36" s="8" t="str">
        <x:f>IFERROR(E36/J36,"")</x:f>
      </x:c>
      <x:c r="L36" s="10" t="str">
        <x:f>IF(OR(I36="",J36=""),"",EDATE(I36,J36-1))</x:f>
      </x:c>
    </x:row>
    <x:row r="37">
      <x:c r="C37" s="8"/>
      <x:c r="D37" s="8"/>
      <x:c r="E37" s="8"/>
      <x:c r="I37" s="10"/>
      <x:c r="J37" s="12"/>
      <x:c r="K37" s="8" t="str">
        <x:f>IFERROR(E37/J37,"")</x:f>
      </x:c>
      <x:c r="L37" s="10" t="str">
        <x:f>IF(OR(I37="",J37=""),"",EDATE(I37,J37-1))</x:f>
      </x:c>
    </x:row>
    <x:row r="38">
      <x:c r="C38" s="8"/>
      <x:c r="D38" s="8"/>
      <x:c r="E38" s="8"/>
      <x:c r="I38" s="10"/>
      <x:c r="J38" s="12"/>
      <x:c r="K38" s="8" t="str">
        <x:f>IFERROR(E38/J38,"")</x:f>
      </x:c>
      <x:c r="L38" s="10" t="str">
        <x:f>IF(OR(I38="",J38=""),"",EDATE(I38,J38-1))</x:f>
      </x:c>
    </x:row>
    <x:row r="39">
      <x:c r="C39" s="8"/>
      <x:c r="D39" s="8"/>
      <x:c r="E39" s="8"/>
      <x:c r="I39" s="10"/>
      <x:c r="J39" s="12"/>
      <x:c r="K39" s="8" t="str">
        <x:f>IFERROR(E39/J39,"")</x:f>
      </x:c>
      <x:c r="L39" s="10" t="str">
        <x:f>IF(OR(I39="",J39=""),"",EDATE(I39,J39-1))</x:f>
      </x:c>
    </x:row>
    <x:row r="40">
      <x:c r="C40" s="8"/>
      <x:c r="D40" s="8"/>
      <x:c r="E40" s="8"/>
      <x:c r="I40" s="10"/>
      <x:c r="J40" s="12"/>
      <x:c r="K40" s="8" t="str">
        <x:f>IFERROR(E40/J40,"")</x:f>
      </x:c>
      <x:c r="L40" s="10" t="str">
        <x:f>IF(OR(I40="",J40=""),"",EDATE(I40,J40-1))</x:f>
      </x:c>
    </x:row>
    <x:row r="41">
      <x:c r="C41" s="8"/>
      <x:c r="D41" s="8"/>
      <x:c r="E41" s="8"/>
      <x:c r="I41" s="10"/>
      <x:c r="J41" s="12"/>
      <x:c r="K41" s="8" t="str">
        <x:f>IFERROR(E41/J41,"")</x:f>
      </x:c>
      <x:c r="L41" s="10" t="str">
        <x:f>IF(OR(I41="",J41=""),"",EDATE(I41,J41-1))</x:f>
      </x:c>
    </x:row>
    <x:row r="42">
      <x:c r="C42" s="8"/>
      <x:c r="D42" s="8"/>
      <x:c r="E42" s="8"/>
      <x:c r="I42" s="10"/>
      <x:c r="J42" s="12"/>
      <x:c r="K42" s="8" t="str">
        <x:f>IFERROR(E42/J42,"")</x:f>
      </x:c>
      <x:c r="L42" s="10" t="str">
        <x:f>IF(OR(I42="",J42=""),"",EDATE(I42,J42-1))</x:f>
      </x:c>
    </x:row>
    <x:row r="43">
      <x:c r="C43" s="8"/>
      <x:c r="D43" s="8"/>
      <x:c r="E43" s="8"/>
      <x:c r="I43" s="10"/>
      <x:c r="J43" s="12"/>
      <x:c r="K43" s="8" t="str">
        <x:f>IFERROR(E43/J43,"")</x:f>
      </x:c>
      <x:c r="L43" s="10" t="str">
        <x:f>IF(OR(I43="",J43=""),"",EDATE(I43,J43-1))</x:f>
      </x:c>
    </x:row>
    <x:row r="44">
      <x:c r="C44" s="8"/>
      <x:c r="D44" s="8"/>
      <x:c r="E44" s="8"/>
      <x:c r="I44" s="10"/>
      <x:c r="J44" s="12"/>
      <x:c r="K44" s="8" t="str">
        <x:f>IFERROR(E44/J44,"")</x:f>
      </x:c>
      <x:c r="L44" s="10" t="str">
        <x:f>IF(OR(I44="",J44=""),"",EDATE(I44,J44-1))</x:f>
      </x:c>
    </x:row>
    <x:row r="45">
      <x:c r="C45" s="8"/>
      <x:c r="D45" s="8"/>
      <x:c r="E45" s="8"/>
      <x:c r="I45" s="10"/>
      <x:c r="J45" s="12"/>
      <x:c r="K45" s="8" t="str">
        <x:f>IFERROR(E45/J45,"")</x:f>
      </x:c>
      <x:c r="L45" s="10" t="str">
        <x:f>IF(OR(I45="",J45=""),"",EDATE(I45,J45-1))</x:f>
      </x:c>
    </x:row>
    <x:row r="46">
      <x:c r="C46" s="8"/>
      <x:c r="D46" s="8"/>
      <x:c r="E46" s="8"/>
      <x:c r="I46" s="10"/>
      <x:c r="J46" s="12"/>
      <x:c r="K46" s="8" t="str">
        <x:f>IFERROR(E46/J46,"")</x:f>
      </x:c>
      <x:c r="L46" s="10" t="str">
        <x:f>IF(OR(I46="",J46=""),"",EDATE(I46,J46-1))</x:f>
      </x:c>
    </x:row>
    <x:row r="47">
      <x:c r="C47" s="8"/>
      <x:c r="D47" s="8"/>
      <x:c r="E47" s="8"/>
      <x:c r="I47" s="10"/>
      <x:c r="J47" s="12"/>
      <x:c r="K47" s="8" t="str">
        <x:f>IFERROR(E47/J47,"")</x:f>
      </x:c>
      <x:c r="L47" s="10" t="str">
        <x:f>IF(OR(I47="",J47=""),"",EDATE(I47,J47-1))</x:f>
      </x:c>
    </x:row>
    <x:row r="48">
      <x:c r="C48" s="8"/>
      <x:c r="D48" s="8"/>
      <x:c r="E48" s="8"/>
      <x:c r="I48" s="10"/>
      <x:c r="J48" s="12"/>
      <x:c r="K48" s="8" t="str">
        <x:f>IFERROR(E48/J48,"")</x:f>
      </x:c>
      <x:c r="L48" s="10" t="str">
        <x:f>IF(OR(I48="",J48=""),"",EDATE(I48,J48-1))</x:f>
      </x:c>
    </x:row>
    <x:row r="49">
      <x:c r="C49" s="8"/>
      <x:c r="D49" s="8"/>
      <x:c r="E49" s="8"/>
      <x:c r="I49" s="10"/>
      <x:c r="J49" s="12"/>
      <x:c r="K49" s="8" t="str">
        <x:f>IFERROR(E49/J49,"")</x:f>
      </x:c>
      <x:c r="L49" s="10" t="str">
        <x:f>IF(OR(I49="",J49=""),"",EDATE(I49,J49-1))</x:f>
      </x:c>
    </x:row>
    <x:row r="50">
      <x:c r="C50" s="8"/>
      <x:c r="D50" s="8"/>
      <x:c r="E50" s="8"/>
      <x:c r="I50" s="10"/>
      <x:c r="J50" s="12"/>
      <x:c r="K50" s="8" t="str">
        <x:f>IFERROR(E50/J50,"")</x:f>
      </x:c>
      <x:c r="L50" s="10" t="str">
        <x:f>IF(OR(I50="",J50=""),"",EDATE(I50,J50-1))</x:f>
      </x:c>
    </x:row>
    <x:row r="51">
      <x:c r="C51" s="8"/>
      <x:c r="D51" s="8"/>
      <x:c r="E51" s="8"/>
      <x:c r="I51" s="10"/>
      <x:c r="J51" s="12"/>
      <x:c r="K51" s="8" t="str">
        <x:f>IFERROR(E51/J51,"")</x:f>
      </x:c>
      <x:c r="L51" s="10" t="str">
        <x:f>IF(OR(I51="",J51=""),"",EDATE(I51,J51-1))</x:f>
      </x:c>
    </x:row>
    <x:row r="52">
      <x:c r="C52" s="8"/>
      <x:c r="D52" s="8"/>
      <x:c r="E52" s="8"/>
      <x:c r="I52" s="10"/>
      <x:c r="J52" s="12"/>
      <x:c r="K52" s="8" t="str">
        <x:f>IFERROR(E52/J52,"")</x:f>
      </x:c>
      <x:c r="L52" s="10" t="str">
        <x:f>IF(OR(I52="",J52=""),"",EDATE(I52,J52-1))</x:f>
      </x:c>
    </x:row>
    <x:row r="53">
      <x:c r="C53" s="8"/>
      <x:c r="D53" s="8"/>
      <x:c r="E53" s="8"/>
      <x:c r="I53" s="10"/>
      <x:c r="J53" s="12"/>
      <x:c r="K53" s="8" t="str">
        <x:f>IFERROR(E53/J53,"")</x:f>
      </x:c>
      <x:c r="L53" s="10" t="str">
        <x:f>IF(OR(I53="",J53=""),"",EDATE(I53,J53-1))</x:f>
      </x:c>
    </x:row>
    <x:row r="54">
      <x:c r="C54" s="8"/>
      <x:c r="D54" s="8"/>
      <x:c r="E54" s="8"/>
      <x:c r="I54" s="10"/>
      <x:c r="J54" s="12"/>
      <x:c r="K54" s="8" t="str">
        <x:f>IFERROR(E54/J54,"")</x:f>
      </x:c>
      <x:c r="L54" s="10" t="str">
        <x:f>IF(OR(I54="",J54=""),"",EDATE(I54,J54-1))</x:f>
      </x:c>
    </x:row>
    <x:row r="55">
      <x:c r="C55" s="8"/>
      <x:c r="D55" s="8"/>
      <x:c r="E55" s="8"/>
      <x:c r="I55" s="10"/>
      <x:c r="J55" s="12"/>
      <x:c r="K55" s="8" t="str">
        <x:f>IFERROR(E55/J55,"")</x:f>
      </x:c>
      <x:c r="L55" s="10" t="str">
        <x:f>IF(OR(I55="",J55=""),"",EDATE(I55,J55-1))</x:f>
      </x:c>
    </x:row>
    <x:row r="56">
      <x:c r="C56" s="8"/>
      <x:c r="D56" s="8"/>
      <x:c r="E56" s="8"/>
      <x:c r="I56" s="10"/>
      <x:c r="J56" s="12"/>
      <x:c r="K56" s="8" t="str">
        <x:f>IFERROR(E56/J56,"")</x:f>
      </x:c>
      <x:c r="L56" s="10" t="str">
        <x:f>IF(OR(I56="",J56=""),"",EDATE(I56,J56-1))</x:f>
      </x:c>
    </x:row>
    <x:row r="57">
      <x:c r="C57" s="8"/>
      <x:c r="D57" s="8"/>
      <x:c r="E57" s="8"/>
      <x:c r="I57" s="10"/>
      <x:c r="J57" s="12"/>
      <x:c r="K57" s="8" t="str">
        <x:f>IFERROR(E57/J57,"")</x:f>
      </x:c>
      <x:c r="L57" s="10" t="str">
        <x:f>IF(OR(I57="",J57=""),"",EDATE(I57,J57-1))</x:f>
      </x:c>
    </x:row>
    <x:row r="58">
      <x:c r="C58" s="8"/>
      <x:c r="D58" s="8"/>
      <x:c r="E58" s="8"/>
      <x:c r="I58" s="10"/>
      <x:c r="J58" s="12"/>
      <x:c r="K58" s="8" t="str">
        <x:f>IFERROR(E58/J58,"")</x:f>
      </x:c>
      <x:c r="L58" s="10" t="str">
        <x:f>IF(OR(I58="",J58=""),"",EDATE(I58,J58-1))</x:f>
      </x:c>
    </x:row>
    <x:row r="59">
      <x:c r="C59" s="8"/>
      <x:c r="D59" s="8"/>
      <x:c r="E59" s="8"/>
      <x:c r="I59" s="10"/>
      <x:c r="J59" s="12"/>
      <x:c r="K59" s="8" t="str">
        <x:f>IFERROR(E59/J59,"")</x:f>
      </x:c>
      <x:c r="L59" s="10" t="str">
        <x:f>IF(OR(I59="",J59=""),"",EDATE(I59,J59-1))</x:f>
      </x:c>
    </x:row>
    <x:row r="60">
      <x:c r="C60" s="8"/>
      <x:c r="D60" s="8"/>
      <x:c r="E60" s="8"/>
      <x:c r="I60" s="10"/>
      <x:c r="J60" s="12"/>
      <x:c r="K60" s="8" t="str">
        <x:f>IFERROR(E60/J60,"")</x:f>
      </x:c>
      <x:c r="L60" s="10" t="str">
        <x:f>IF(OR(I60="",J60=""),"",EDATE(I60,J60-1))</x:f>
      </x:c>
    </x:row>
    <x:row r="61">
      <x:c r="C61" s="8"/>
      <x:c r="D61" s="8"/>
      <x:c r="E61" s="8"/>
      <x:c r="I61" s="10"/>
      <x:c r="J61" s="12"/>
      <x:c r="K61" s="8" t="str">
        <x:f>IFERROR(E61/J61,"")</x:f>
      </x:c>
      <x:c r="L61" s="10" t="str">
        <x:f>IF(OR(I61="",J61=""),"",EDATE(I61,J61-1))</x:f>
      </x:c>
    </x:row>
    <x:row r="62">
      <x:c r="C62" s="8"/>
      <x:c r="D62" s="8"/>
      <x:c r="E62" s="8"/>
      <x:c r="I62" s="10"/>
      <x:c r="J62" s="12"/>
      <x:c r="K62" s="8" t="str">
        <x:f>IFERROR(E62/J62,"")</x:f>
      </x:c>
      <x:c r="L62" s="10" t="str">
        <x:f>IF(OR(I62="",J62=""),"",EDATE(I62,J62-1))</x:f>
      </x:c>
    </x:row>
    <x:row r="63">
      <x:c r="C63" s="8"/>
      <x:c r="D63" s="8"/>
      <x:c r="E63" s="8"/>
      <x:c r="I63" s="10"/>
      <x:c r="J63" s="12"/>
      <x:c r="K63" s="8" t="str">
        <x:f>IFERROR(E63/J63,"")</x:f>
      </x:c>
      <x:c r="L63" s="10" t="str">
        <x:f>IF(OR(I63="",J63=""),"",EDATE(I63,J63-1))</x:f>
      </x:c>
    </x:row>
    <x:row r="64">
      <x:c r="C64" s="8"/>
      <x:c r="D64" s="8"/>
      <x:c r="E64" s="8"/>
      <x:c r="I64" s="10"/>
      <x:c r="J64" s="12"/>
      <x:c r="K64" s="8" t="str">
        <x:f>IFERROR(E64/J64,"")</x:f>
      </x:c>
      <x:c r="L64" s="10" t="str">
        <x:f>IF(OR(I64="",J64=""),"",EDATE(I64,J64-1))</x:f>
      </x:c>
    </x:row>
    <x:row r="65">
      <x:c r="C65" s="8"/>
      <x:c r="D65" s="8"/>
      <x:c r="E65" s="8"/>
      <x:c r="I65" s="10"/>
      <x:c r="J65" s="12"/>
      <x:c r="K65" s="8" t="str">
        <x:f>IFERROR(E65/J65,"")</x:f>
      </x:c>
      <x:c r="L65" s="10" t="str">
        <x:f>IF(OR(I65="",J65=""),"",EDATE(I65,J65-1))</x:f>
      </x:c>
    </x:row>
    <x:row r="66">
      <x:c r="C66" s="8"/>
      <x:c r="D66" s="8"/>
      <x:c r="E66" s="8"/>
      <x:c r="I66" s="10"/>
      <x:c r="J66" s="12"/>
      <x:c r="K66" s="8" t="str">
        <x:f>IFERROR(E66/J66,"")</x:f>
      </x:c>
      <x:c r="L66" s="10" t="str">
        <x:f>IF(OR(I66="",J66=""),"",EDATE(I66,J66-1))</x:f>
      </x:c>
    </x:row>
    <x:row r="67">
      <x:c r="C67" s="8"/>
      <x:c r="D67" s="8"/>
      <x:c r="E67" s="8"/>
      <x:c r="I67" s="10"/>
      <x:c r="J67" s="12"/>
      <x:c r="K67" s="8" t="str">
        <x:f>IFERROR(E67/J67,"")</x:f>
      </x:c>
      <x:c r="L67" s="10" t="str">
        <x:f>IF(OR(I67="",J67=""),"",EDATE(I67,J67-1))</x:f>
      </x:c>
    </x:row>
    <x:row r="68">
      <x:c r="C68" s="8"/>
      <x:c r="D68" s="8"/>
      <x:c r="E68" s="8"/>
      <x:c r="I68" s="10"/>
      <x:c r="J68" s="12"/>
      <x:c r="K68" s="8" t="str">
        <x:f>IFERROR(E68/J68,"")</x:f>
      </x:c>
      <x:c r="L68" s="10" t="str">
        <x:f>IF(OR(I68="",J68=""),"",EDATE(I68,J68-1))</x:f>
      </x:c>
    </x:row>
    <x:row r="69">
      <x:c r="C69" s="8"/>
      <x:c r="D69" s="8"/>
      <x:c r="E69" s="8"/>
      <x:c r="I69" s="10"/>
      <x:c r="J69" s="12"/>
      <x:c r="K69" s="8" t="str">
        <x:f>IFERROR(E69/J69,"")</x:f>
      </x:c>
      <x:c r="L69" s="10" t="str">
        <x:f>IF(OR(I69="",J69=""),"",EDATE(I69,J69-1))</x:f>
      </x:c>
    </x:row>
    <x:row r="70">
      <x:c r="C70" s="8"/>
      <x:c r="D70" s="8"/>
      <x:c r="E70" s="8"/>
      <x:c r="I70" s="10"/>
      <x:c r="J70" s="12"/>
      <x:c r="K70" s="8" t="str">
        <x:f>IFERROR(E70/J70,"")</x:f>
      </x:c>
      <x:c r="L70" s="10" t="str">
        <x:f>IF(OR(I70="",J70=""),"",EDATE(I70,J70-1))</x:f>
      </x:c>
    </x:row>
    <x:row r="71">
      <x:c r="C71" s="8"/>
      <x:c r="D71" s="8"/>
      <x:c r="E71" s="8"/>
      <x:c r="I71" s="10"/>
      <x:c r="J71" s="12"/>
      <x:c r="K71" s="8" t="str">
        <x:f>IFERROR(E71/J71,"")</x:f>
      </x:c>
      <x:c r="L71" s="10" t="str">
        <x:f>IF(OR(I71="",J71=""),"",EDATE(I71,J71-1))</x:f>
      </x:c>
    </x:row>
    <x:row r="72">
      <x:c r="C72" s="8"/>
      <x:c r="D72" s="8"/>
      <x:c r="E72" s="8"/>
      <x:c r="I72" s="10"/>
      <x:c r="J72" s="12"/>
      <x:c r="K72" s="8" t="str">
        <x:f>IFERROR(E72/J72,"")</x:f>
      </x:c>
      <x:c r="L72" s="10" t="str">
        <x:f>IF(OR(I72="",J72=""),"",EDATE(I72,J72-1))</x:f>
      </x:c>
    </x:row>
    <x:row r="73">
      <x:c r="C73" s="8"/>
      <x:c r="D73" s="8"/>
      <x:c r="E73" s="8"/>
      <x:c r="I73" s="10"/>
      <x:c r="J73" s="12"/>
      <x:c r="K73" s="8" t="str">
        <x:f>IFERROR(E73/J73,"")</x:f>
      </x:c>
      <x:c r="L73" s="10" t="str">
        <x:f>IF(OR(I73="",J73=""),"",EDATE(I73,J73-1))</x:f>
      </x:c>
    </x:row>
    <x:row r="74">
      <x:c r="C74" s="8"/>
      <x:c r="D74" s="8"/>
      <x:c r="E74" s="8"/>
      <x:c r="I74" s="10"/>
      <x:c r="J74" s="12"/>
      <x:c r="K74" s="8" t="str">
        <x:f>IFERROR(E74/J74,"")</x:f>
      </x:c>
      <x:c r="L74" s="10" t="str">
        <x:f>IF(OR(I74="",J74=""),"",EDATE(I74,J74-1))</x:f>
      </x:c>
    </x:row>
    <x:row r="75">
      <x:c r="C75" s="8"/>
      <x:c r="D75" s="8"/>
      <x:c r="E75" s="8"/>
      <x:c r="I75" s="10"/>
      <x:c r="J75" s="12"/>
      <x:c r="K75" s="8" t="str">
        <x:f>IFERROR(E75/J75,"")</x:f>
      </x:c>
      <x:c r="L75" s="10" t="str">
        <x:f>IF(OR(I75="",J75=""),"",EDATE(I75,J75-1))</x:f>
      </x:c>
    </x:row>
    <x:row r="76">
      <x:c r="C76" s="8"/>
      <x:c r="D76" s="8"/>
      <x:c r="E76" s="8"/>
      <x:c r="I76" s="10"/>
      <x:c r="J76" s="12"/>
      <x:c r="K76" s="8" t="str">
        <x:f>IFERROR(E76/J76,"")</x:f>
      </x:c>
      <x:c r="L76" s="10" t="str">
        <x:f>IF(OR(I76="",J76=""),"",EDATE(I76,J76-1))</x:f>
      </x:c>
    </x:row>
    <x:row r="77">
      <x:c r="C77" s="8"/>
      <x:c r="D77" s="8"/>
      <x:c r="E77" s="8"/>
      <x:c r="I77" s="10"/>
      <x:c r="J77" s="12"/>
      <x:c r="K77" s="8" t="str">
        <x:f>IFERROR(E77/J77,"")</x:f>
      </x:c>
      <x:c r="L77" s="10" t="str">
        <x:f>IF(OR(I77="",J77=""),"",EDATE(I77,J77-1))</x:f>
      </x:c>
    </x:row>
    <x:row r="78">
      <x:c r="C78" s="8"/>
      <x:c r="D78" s="8"/>
      <x:c r="E78" s="8"/>
      <x:c r="I78" s="10"/>
      <x:c r="J78" s="12"/>
      <x:c r="K78" s="8" t="str">
        <x:f>IFERROR(E78/J78,"")</x:f>
      </x:c>
      <x:c r="L78" s="10" t="str">
        <x:f>IF(OR(I78="",J78=""),"",EDATE(I78,J78-1))</x:f>
      </x:c>
    </x:row>
    <x:row r="79">
      <x:c r="C79" s="8"/>
      <x:c r="D79" s="8"/>
      <x:c r="E79" s="8"/>
      <x:c r="I79" s="10"/>
      <x:c r="J79" s="12"/>
      <x:c r="K79" s="8" t="str">
        <x:f>IFERROR(E79/J79,"")</x:f>
      </x:c>
      <x:c r="L79" s="10" t="str">
        <x:f>IF(OR(I79="",J79=""),"",EDATE(I79,J79-1))</x:f>
      </x:c>
    </x:row>
    <x:row r="80">
      <x:c r="C80" s="8"/>
      <x:c r="D80" s="8"/>
      <x:c r="E80" s="8"/>
      <x:c r="I80" s="10"/>
      <x:c r="J80" s="12"/>
      <x:c r="K80" s="8" t="str">
        <x:f>IFERROR(E80/J80,"")</x:f>
      </x:c>
      <x:c r="L80" s="10" t="str">
        <x:f>IF(OR(I80="",J80=""),"",EDATE(I80,J80-1))</x:f>
      </x:c>
    </x:row>
    <x:row r="81">
      <x:c r="C81" s="8"/>
      <x:c r="D81" s="8"/>
      <x:c r="E81" s="8"/>
      <x:c r="I81" s="10"/>
      <x:c r="J81" s="12"/>
      <x:c r="K81" s="8" t="str">
        <x:f>IFERROR(E81/J81,"")</x:f>
      </x:c>
      <x:c r="L81" s="10" t="str">
        <x:f>IF(OR(I81="",J81=""),"",EDATE(I81,J81-1))</x:f>
      </x:c>
    </x:row>
    <x:row r="82">
      <x:c r="C82" s="8"/>
      <x:c r="D82" s="8"/>
      <x:c r="E82" s="8"/>
      <x:c r="I82" s="10"/>
      <x:c r="J82" s="12"/>
      <x:c r="K82" s="8" t="str">
        <x:f>IFERROR(E82/J82,"")</x:f>
      </x:c>
      <x:c r="L82" s="10" t="str">
        <x:f>IF(OR(I82="",J82=""),"",EDATE(I82,J82-1))</x:f>
      </x:c>
    </x:row>
    <x:row r="83">
      <x:c r="C83" s="8"/>
      <x:c r="D83" s="8"/>
      <x:c r="E83" s="8"/>
      <x:c r="I83" s="10"/>
      <x:c r="J83" s="12"/>
      <x:c r="K83" s="8" t="str">
        <x:f>IFERROR(E83/J83,"")</x:f>
      </x:c>
      <x:c r="L83" s="10" t="str">
        <x:f>IF(OR(I83="",J83=""),"",EDATE(I83,J83-1))</x:f>
      </x:c>
    </x:row>
    <x:row r="84">
      <x:c r="C84" s="8"/>
      <x:c r="D84" s="8"/>
      <x:c r="E84" s="8"/>
      <x:c r="I84" s="10"/>
      <x:c r="J84" s="12"/>
      <x:c r="K84" s="8" t="str">
        <x:f>IFERROR(E84/J84,"")</x:f>
      </x:c>
      <x:c r="L84" s="10" t="str">
        <x:f>IF(OR(I84="",J84=""),"",EDATE(I84,J84-1))</x:f>
      </x:c>
    </x:row>
    <x:row r="85">
      <x:c r="C85" s="8"/>
      <x:c r="D85" s="8"/>
      <x:c r="E85" s="8"/>
      <x:c r="I85" s="10"/>
      <x:c r="J85" s="12"/>
      <x:c r="K85" s="8" t="str">
        <x:f>IFERROR(E85/J85,"")</x:f>
      </x:c>
      <x:c r="L85" s="10" t="str">
        <x:f>IF(OR(I85="",J85=""),"",EDATE(I85,J85-1))</x:f>
      </x:c>
    </x:row>
    <x:row r="86">
      <x:c r="C86" s="8"/>
      <x:c r="D86" s="8"/>
      <x:c r="E86" s="8"/>
      <x:c r="I86" s="10"/>
      <x:c r="J86" s="12"/>
      <x:c r="K86" s="8" t="str">
        <x:f>IFERROR(E86/J86,"")</x:f>
      </x:c>
      <x:c r="L86" s="10" t="str">
        <x:f>IF(OR(I86="",J86=""),"",EDATE(I86,J86-1))</x:f>
      </x:c>
    </x:row>
    <x:row r="87">
      <x:c r="C87" s="8"/>
      <x:c r="D87" s="8"/>
      <x:c r="E87" s="8"/>
      <x:c r="I87" s="10"/>
      <x:c r="J87" s="12"/>
      <x:c r="K87" s="8" t="str">
        <x:f>IFERROR(E87/J87,"")</x:f>
      </x:c>
      <x:c r="L87" s="10" t="str">
        <x:f>IF(OR(I87="",J87=""),"",EDATE(I87,J87-1))</x:f>
      </x:c>
    </x:row>
    <x:row r="88">
      <x:c r="C88" s="8"/>
      <x:c r="D88" s="8"/>
      <x:c r="E88" s="8"/>
      <x:c r="I88" s="10"/>
      <x:c r="J88" s="12"/>
      <x:c r="K88" s="8" t="str">
        <x:f>IFERROR(E88/J88,"")</x:f>
      </x:c>
      <x:c r="L88" s="10" t="str">
        <x:f>IF(OR(I88="",J88=""),"",EDATE(I88,J88-1))</x:f>
      </x:c>
    </x:row>
    <x:row r="89">
      <x:c r="C89" s="8"/>
      <x:c r="D89" s="8"/>
      <x:c r="E89" s="8"/>
      <x:c r="I89" s="10"/>
      <x:c r="J89" s="12"/>
      <x:c r="K89" s="8" t="str">
        <x:f>IFERROR(E89/J89,"")</x:f>
      </x:c>
      <x:c r="L89" s="10" t="str">
        <x:f>IF(OR(I89="",J89=""),"",EDATE(I89,J89-1))</x:f>
      </x:c>
    </x:row>
    <x:row r="90">
      <x:c r="C90" s="8"/>
      <x:c r="D90" s="8"/>
      <x:c r="E90" s="8"/>
      <x:c r="I90" s="10"/>
      <x:c r="J90" s="12"/>
      <x:c r="K90" s="8" t="str">
        <x:f>IFERROR(E90/J90,"")</x:f>
      </x:c>
      <x:c r="L90" s="10" t="str">
        <x:f>IF(OR(I90="",J90=""),"",EDATE(I90,J90-1))</x:f>
      </x:c>
    </x:row>
    <x:row r="91">
      <x:c r="C91" s="8"/>
      <x:c r="D91" s="8"/>
      <x:c r="E91" s="8"/>
      <x:c r="I91" s="10"/>
      <x:c r="J91" s="12"/>
      <x:c r="K91" s="8" t="str">
        <x:f>IFERROR(E91/J91,"")</x:f>
      </x:c>
      <x:c r="L91" s="10" t="str">
        <x:f>IF(OR(I91="",J91=""),"",EDATE(I91,J91-1))</x:f>
      </x:c>
    </x:row>
    <x:row r="92">
      <x:c r="C92" s="8"/>
      <x:c r="D92" s="8"/>
      <x:c r="E92" s="8"/>
      <x:c r="I92" s="10"/>
      <x:c r="J92" s="12"/>
      <x:c r="K92" s="8" t="str">
        <x:f>IFERROR(E92/J92,"")</x:f>
      </x:c>
      <x:c r="L92" s="10" t="str">
        <x:f>IF(OR(I92="",J92=""),"",EDATE(I92,J92-1))</x:f>
      </x:c>
    </x:row>
    <x:row r="93">
      <x:c r="C93" s="8"/>
      <x:c r="D93" s="8"/>
      <x:c r="E93" s="8"/>
      <x:c r="I93" s="10"/>
      <x:c r="J93" s="12"/>
      <x:c r="K93" s="8" t="str">
        <x:f>IFERROR(E93/J93,"")</x:f>
      </x:c>
      <x:c r="L93" s="10" t="str">
        <x:f>IF(OR(I93="",J93=""),"",EDATE(I93,J93-1))</x:f>
      </x:c>
    </x:row>
    <x:row r="94">
      <x:c r="C94" s="8"/>
      <x:c r="D94" s="8"/>
      <x:c r="E94" s="8"/>
      <x:c r="I94" s="10"/>
      <x:c r="J94" s="12"/>
      <x:c r="K94" s="8" t="str">
        <x:f>IFERROR(E94/J94,"")</x:f>
      </x:c>
      <x:c r="L94" s="10" t="str">
        <x:f>IF(OR(I94="",J94=""),"",EDATE(I94,J94-1))</x:f>
      </x:c>
    </x:row>
    <x:row r="95">
      <x:c r="C95" s="8"/>
      <x:c r="D95" s="8"/>
      <x:c r="E95" s="8"/>
      <x:c r="I95" s="10"/>
      <x:c r="J95" s="12"/>
      <x:c r="K95" s="8" t="str">
        <x:f>IFERROR(E95/J95,"")</x:f>
      </x:c>
      <x:c r="L95" s="10" t="str">
        <x:f>IF(OR(I95="",J95=""),"",EDATE(I95,J95-1))</x:f>
      </x:c>
    </x:row>
    <x:row r="96">
      <x:c r="C96" s="8"/>
      <x:c r="D96" s="8"/>
      <x:c r="E96" s="8"/>
      <x:c r="I96" s="10"/>
      <x:c r="J96" s="12"/>
      <x:c r="K96" s="8" t="str">
        <x:f>IFERROR(E96/J96,"")</x:f>
      </x:c>
      <x:c r="L96" s="10" t="str">
        <x:f>IF(OR(I96="",J96=""),"",EDATE(I96,J96-1))</x:f>
      </x:c>
    </x:row>
    <x:row r="97">
      <x:c r="C97" s="8"/>
      <x:c r="D97" s="8"/>
      <x:c r="E97" s="8"/>
      <x:c r="I97" s="10"/>
      <x:c r="J97" s="12"/>
      <x:c r="K97" s="8" t="str">
        <x:f>IFERROR(E97/J97,"")</x:f>
      </x:c>
      <x:c r="L97" s="10" t="str">
        <x:f>IF(OR(I97="",J97=""),"",EDATE(I97,J97-1))</x:f>
      </x:c>
    </x:row>
    <x:row r="98">
      <x:c r="C98" s="8"/>
      <x:c r="D98" s="8"/>
      <x:c r="E98" s="8"/>
      <x:c r="I98" s="10"/>
      <x:c r="J98" s="12"/>
      <x:c r="K98" s="8" t="str">
        <x:f>IFERROR(E98/J98,"")</x:f>
      </x:c>
      <x:c r="L98" s="10" t="str">
        <x:f>IF(OR(I98="",J98=""),"",EDATE(I98,J98-1))</x:f>
      </x:c>
    </x:row>
    <x:row r="99">
      <x:c r="C99" s="8"/>
      <x:c r="D99" s="8"/>
      <x:c r="E99" s="8"/>
      <x:c r="I99" s="10"/>
      <x:c r="J99" s="12"/>
      <x:c r="K99" s="8" t="str">
        <x:f>IFERROR(E99/J99,"")</x:f>
      </x:c>
      <x:c r="L99" s="10" t="str">
        <x:f>IF(OR(I99="",J99=""),"",EDATE(I99,J99-1))</x:f>
      </x:c>
    </x:row>
    <x:row r="100">
      <x:c r="C100" s="8"/>
      <x:c r="D100" s="8"/>
      <x:c r="E100" s="8"/>
      <x:c r="I100" s="10"/>
      <x:c r="J100" s="12"/>
      <x:c r="K100" s="8" t="str">
        <x:f>IFERROR(E100/J100,"")</x:f>
      </x:c>
      <x:c r="L100" s="10" t="str">
        <x:f>IF(OR(I100="",J100=""),"",EDATE(I100,J100-1))</x:f>
      </x:c>
    </x:row>
  </x:sheetData>
  <x:dataValidations count="4">
    <x:dataValidation type="list" sqref="F2:F100">
      <x:formula1>Listas!$A$2:$A$7</x:formula1>
    </x:dataValidation>
    <x:dataValidation type="list" sqref="G2:G100">
      <x:formula1>Listas!$B$2:$B$9</x:formula1>
    </x:dataValidation>
    <x:dataValidation type="list" sqref="H2:H100">
      <x:formula1>Listas!$C$2:$C$6</x:formula1>
    </x:dataValidation>
    <x:dataValidation type="list" sqref="J2:J100">
      <x:formula1>Listas!$D$2:$D$13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8c6209fa4f4e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9.420000076293945" hidden="0" customWidth="1"/>
    <x:col min="3" max="3" width="9.6899995803833" hidden="0" customWidth="1"/>
    <x:col min="4" max="4" width="10.5" hidden="0" customWidth="1"/>
    <x:col min="5" max="5" width="16.549999237060547" hidden="0" customWidth="1"/>
    <x:col min="6" max="6" width="13.1899995803833" hidden="0" customWidth="1"/>
    <x:col min="7" max="7" width="16.149999618530273" hidden="0" customWidth="1"/>
    <x:col min="8" max="8" width="9.289999961853027" hidden="0" customWidth="1"/>
    <x:col min="9" max="9" width="47.380001068115234" hidden="0" customWidth="1"/>
    <x:col min="10" max="10" width="13.59000015258789" hidden="0" customWidth="1"/>
  </x:cols>
  <x:sheetData>
    <x:row r="1">
      <x:c r="A1" s="3" t="str">
        <x:v>Reserva</x:v>
      </x:c>
      <x:c r="B1" s="3" t="str">
        <x:v>Data</x:v>
      </x:c>
      <x:c r="C1" s="3" t="str">
        <x:v>Status</x:v>
      </x:c>
      <x:c r="D1" s="3" t="str">
        <x:v>Valor real</x:v>
      </x:c>
      <x:c r="E1" s="3" t="str">
        <x:v>Meio pagamento</x:v>
      </x:c>
      <x:c r="F1" s="3" t="str">
        <x:v>Quem pagou</x:v>
      </x:c>
      <x:c r="G1" s="3" t="str">
        <x:v>Data pagamento</x:v>
      </x:c>
      <x:c r="H1" s="3" t="str">
        <x:v>Parcelas</x:v>
      </x:c>
      <x:c r="I1" s="3" t="str">
        <x:v>Link/Comprovante</x:v>
      </x:c>
      <x:c r="J1" s="3" t="str">
        <x:v>Obs</x:v>
      </x:c>
    </x:row>
    <x:row r="2">
      <x:c r="A2" t="str">
        <x:v>Voo GRU-CUN</x:v>
      </x:c>
      <x:c r="B2" t="str">
        <x:v>06/06/2026</x:v>
      </x:c>
      <x:c r="C2" t="str">
        <x:v>Pendente</x:v>
      </x:c>
      <x:c r="D2" s="8" t="str"/>
      <x:c r="E2" t="str">
        <x:v>Cartão parcelado</x:v>
      </x:c>
      <x:c r="F2" t="str">
        <x:v>A definir</x:v>
      </x:c>
      <x:c r="G2" s="10" t="str"/>
      <x:c r="H2" s="12" t="n">
        <x:v>3</x:v>
      </x:c>
      <x:c r="I2" t="str"/>
      <x:c r="J2" t="str">
        <x:v>Copa via Panamá</x:v>
      </x:c>
    </x:row>
    <x:row r="3">
      <x:c r="A3" t="str">
        <x:v>Hotel Playa</x:v>
      </x:c>
      <x:c r="B3" t="str">
        <x:v>06–11/06</x:v>
      </x:c>
      <x:c r="C3" t="str">
        <x:v>Pendente</x:v>
      </x:c>
      <x:c r="D3" s="8" t="str"/>
      <x:c r="E3" t="str">
        <x:v>Cartão parcelado</x:v>
      </x:c>
      <x:c r="F3" t="str">
        <x:v>A definir</x:v>
      </x:c>
      <x:c r="G3" s="10" t="str"/>
      <x:c r="H3" s="12" t="n">
        <x:v>3</x:v>
      </x:c>
      <x:c r="I3" t="str"/>
      <x:c r="J3" t="str"/>
    </x:row>
    <x:row r="4">
      <x:c r="A4" t="str">
        <x:v>Hotel Cancún</x:v>
      </x:c>
      <x:c r="B4" t="str">
        <x:v>11–16/06</x:v>
      </x:c>
      <x:c r="C4" t="str">
        <x:v>Pendente</x:v>
      </x:c>
      <x:c r="D4" s="8" t="str"/>
      <x:c r="E4" t="str">
        <x:v>Cartão parcelado</x:v>
      </x:c>
      <x:c r="F4" t="str">
        <x:v>A definir</x:v>
      </x:c>
      <x:c r="G4" s="10" t="str"/>
      <x:c r="H4" s="12" t="n">
        <x:v>3</x:v>
      </x:c>
      <x:c r="I4" t="str"/>
      <x:c r="J4" t="str"/>
    </x:row>
    <x:row r="5">
      <x:c r="A5" t="str">
        <x:v>Xcaret</x:v>
      </x:c>
      <x:c r="B5" t="str">
        <x:v>09/06/2026</x:v>
      </x:c>
      <x:c r="C5" t="str">
        <x:v>Pendente</x:v>
      </x:c>
      <x:c r="D5" s="8" t="str"/>
      <x:c r="E5" t="str">
        <x:v>Cartão à vista</x:v>
      </x:c>
      <x:c r="F5" t="str">
        <x:v>A definir</x:v>
      </x:c>
      <x:c r="G5" s="10" t="str"/>
      <x:c r="H5" s="12" t="n">
        <x:v>1</x:v>
      </x:c>
      <x:c r="I5" t="str">
        <x:v>https://www.xcaret.com/pt/</x:v>
      </x:c>
      <x:c r="J5" t="str"/>
    </x:row>
    <x:row r="6">
      <x:c r="A6" t="str">
        <x:v>Catamarã</x:v>
      </x:c>
      <x:c r="B6" t="str">
        <x:v>13/06/2026</x:v>
      </x:c>
      <x:c r="C6" t="str">
        <x:v>Pendente</x:v>
      </x:c>
      <x:c r="D6" s="8" t="str"/>
      <x:c r="E6" t="str">
        <x:v>Cartão à vista</x:v>
      </x:c>
      <x:c r="F6" t="str">
        <x:v>A definir</x:v>
      </x:c>
      <x:c r="G6" s="10" t="str"/>
      <x:c r="H6" s="12" t="n">
        <x:v>1</x:v>
      </x:c>
      <x:c r="I6" t="str">
        <x:v>https://www.xcaret.com/en/xailing/catamaran-prime-tour/</x:v>
      </x:c>
      <x:c r="J6" t="str"/>
    </x:row>
    <x:row r="7">
      <x:c r="D7" s="8"/>
      <x:c r="G7" s="10"/>
      <x:c r="H7" s="12"/>
    </x:row>
    <x:row r="8">
      <x:c r="D8" s="8"/>
      <x:c r="G8" s="10"/>
      <x:c r="H8" s="12"/>
    </x:row>
    <x:row r="9">
      <x:c r="D9" s="8"/>
      <x:c r="G9" s="10"/>
      <x:c r="H9" s="12"/>
    </x:row>
    <x:row r="10">
      <x:c r="D10" s="8"/>
      <x:c r="G10" s="10"/>
      <x:c r="H10" s="12"/>
    </x:row>
    <x:row r="11">
      <x:c r="D11" s="8"/>
      <x:c r="G11" s="10"/>
      <x:c r="H11" s="12"/>
    </x:row>
    <x:row r="12">
      <x:c r="D12" s="8"/>
      <x:c r="G12" s="10"/>
      <x:c r="H12" s="12"/>
    </x:row>
    <x:row r="13">
      <x:c r="D13" s="8"/>
      <x:c r="G13" s="10"/>
      <x:c r="H13" s="12"/>
    </x:row>
    <x:row r="14">
      <x:c r="D14" s="8"/>
      <x:c r="G14" s="10"/>
      <x:c r="H14" s="12"/>
    </x:row>
    <x:row r="15">
      <x:c r="D15" s="8"/>
      <x:c r="G15" s="10"/>
      <x:c r="H15" s="12"/>
    </x:row>
    <x:row r="16">
      <x:c r="D16" s="8"/>
      <x:c r="G16" s="10"/>
      <x:c r="H16" s="12"/>
    </x:row>
    <x:row r="17">
      <x:c r="D17" s="8"/>
      <x:c r="G17" s="10"/>
      <x:c r="H17" s="12"/>
    </x:row>
    <x:row r="18">
      <x:c r="D18" s="8"/>
      <x:c r="G18" s="10"/>
      <x:c r="H18" s="12"/>
    </x:row>
    <x:row r="19">
      <x:c r="D19" s="8"/>
      <x:c r="G19" s="10"/>
      <x:c r="H19" s="12"/>
    </x:row>
    <x:row r="20">
      <x:c r="D20" s="8"/>
      <x:c r="G20" s="10"/>
      <x:c r="H20" s="12"/>
    </x:row>
    <x:row r="21">
      <x:c r="D21" s="8"/>
      <x:c r="G21" s="10"/>
      <x:c r="H21" s="12"/>
    </x:row>
    <x:row r="22">
      <x:c r="D22" s="8"/>
      <x:c r="G22" s="10"/>
      <x:c r="H22" s="12"/>
    </x:row>
    <x:row r="23">
      <x:c r="D23" s="8"/>
      <x:c r="G23" s="10"/>
      <x:c r="H23" s="12"/>
    </x:row>
    <x:row r="24">
      <x:c r="D24" s="8"/>
      <x:c r="G24" s="10"/>
      <x:c r="H24" s="12"/>
    </x:row>
    <x:row r="25">
      <x:c r="D25" s="8"/>
      <x:c r="G25" s="10"/>
      <x:c r="H25" s="12"/>
    </x:row>
    <x:row r="26">
      <x:c r="D26" s="8"/>
      <x:c r="G26" s="10"/>
      <x:c r="H26" s="12"/>
    </x:row>
    <x:row r="27">
      <x:c r="D27" s="8"/>
      <x:c r="G27" s="10"/>
      <x:c r="H27" s="12"/>
    </x:row>
    <x:row r="28">
      <x:c r="D28" s="8"/>
      <x:c r="G28" s="10"/>
      <x:c r="H28" s="12"/>
    </x:row>
    <x:row r="29">
      <x:c r="D29" s="8"/>
      <x:c r="G29" s="10"/>
      <x:c r="H29" s="12"/>
    </x:row>
    <x:row r="30">
      <x:c r="D30" s="8"/>
      <x:c r="G30" s="10"/>
      <x:c r="H30" s="12"/>
    </x:row>
    <x:row r="31">
      <x:c r="D31" s="8"/>
      <x:c r="G31" s="10"/>
      <x:c r="H31" s="12"/>
    </x:row>
    <x:row r="32">
      <x:c r="D32" s="8"/>
      <x:c r="G32" s="10"/>
      <x:c r="H32" s="12"/>
    </x:row>
    <x:row r="33">
      <x:c r="D33" s="8"/>
      <x:c r="G33" s="10"/>
      <x:c r="H33" s="12"/>
    </x:row>
    <x:row r="34">
      <x:c r="D34" s="8"/>
      <x:c r="G34" s="10"/>
      <x:c r="H34" s="12"/>
    </x:row>
    <x:row r="35">
      <x:c r="D35" s="8"/>
      <x:c r="G35" s="10"/>
      <x:c r="H35" s="12"/>
    </x:row>
    <x:row r="36">
      <x:c r="D36" s="8"/>
      <x:c r="G36" s="10"/>
      <x:c r="H36" s="12"/>
    </x:row>
    <x:row r="37">
      <x:c r="D37" s="8"/>
      <x:c r="G37" s="10"/>
      <x:c r="H37" s="12"/>
    </x:row>
    <x:row r="38">
      <x:c r="D38" s="8"/>
      <x:c r="G38" s="10"/>
      <x:c r="H38" s="12"/>
    </x:row>
    <x:row r="39">
      <x:c r="D39" s="8"/>
      <x:c r="G39" s="10"/>
      <x:c r="H39" s="12"/>
    </x:row>
    <x:row r="40">
      <x:c r="D40" s="8"/>
      <x:c r="G40" s="10"/>
      <x:c r="H40" s="12"/>
    </x:row>
    <x:row r="41">
      <x:c r="D41" s="8"/>
      <x:c r="G41" s="10"/>
      <x:c r="H41" s="12"/>
    </x:row>
    <x:row r="42">
      <x:c r="D42" s="8"/>
      <x:c r="G42" s="10"/>
      <x:c r="H42" s="12"/>
    </x:row>
    <x:row r="43">
      <x:c r="D43" s="8"/>
      <x:c r="G43" s="10"/>
      <x:c r="H43" s="12"/>
    </x:row>
    <x:row r="44">
      <x:c r="D44" s="8"/>
      <x:c r="G44" s="10"/>
      <x:c r="H44" s="12"/>
    </x:row>
    <x:row r="45">
      <x:c r="D45" s="8"/>
      <x:c r="G45" s="10"/>
      <x:c r="H45" s="12"/>
    </x:row>
    <x:row r="46">
      <x:c r="D46" s="8"/>
      <x:c r="G46" s="10"/>
      <x:c r="H46" s="12"/>
    </x:row>
    <x:row r="47">
      <x:c r="D47" s="8"/>
      <x:c r="G47" s="10"/>
      <x:c r="H47" s="12"/>
    </x:row>
    <x:row r="48">
      <x:c r="D48" s="8"/>
      <x:c r="G48" s="10"/>
      <x:c r="H48" s="12"/>
    </x:row>
    <x:row r="49">
      <x:c r="D49" s="8"/>
      <x:c r="G49" s="10"/>
      <x:c r="H49" s="12"/>
    </x:row>
    <x:row r="50">
      <x:c r="D50" s="8"/>
      <x:c r="G50" s="10"/>
      <x:c r="H50" s="12"/>
    </x:row>
    <x:row r="51">
      <x:c r="D51" s="8"/>
      <x:c r="G51" s="10"/>
      <x:c r="H51" s="12"/>
    </x:row>
    <x:row r="52">
      <x:c r="D52" s="8"/>
      <x:c r="G52" s="10"/>
      <x:c r="H52" s="12"/>
    </x:row>
    <x:row r="53">
      <x:c r="D53" s="8"/>
      <x:c r="G53" s="10"/>
      <x:c r="H53" s="12"/>
    </x:row>
    <x:row r="54">
      <x:c r="D54" s="8"/>
      <x:c r="G54" s="10"/>
      <x:c r="H54" s="12"/>
    </x:row>
    <x:row r="55">
      <x:c r="D55" s="8"/>
      <x:c r="G55" s="10"/>
      <x:c r="H55" s="12"/>
    </x:row>
    <x:row r="56">
      <x:c r="D56" s="8"/>
      <x:c r="G56" s="10"/>
      <x:c r="H56" s="12"/>
    </x:row>
    <x:row r="57">
      <x:c r="D57" s="8"/>
      <x:c r="G57" s="10"/>
      <x:c r="H57" s="12"/>
    </x:row>
    <x:row r="58">
      <x:c r="D58" s="8"/>
      <x:c r="G58" s="10"/>
      <x:c r="H58" s="12"/>
    </x:row>
    <x:row r="59">
      <x:c r="D59" s="8"/>
      <x:c r="G59" s="10"/>
      <x:c r="H59" s="12"/>
    </x:row>
    <x:row r="60">
      <x:c r="D60" s="8"/>
      <x:c r="G60" s="10"/>
      <x:c r="H60" s="12"/>
    </x:row>
    <x:row r="61">
      <x:c r="D61" s="8"/>
      <x:c r="G61" s="10"/>
      <x:c r="H61" s="12"/>
    </x:row>
    <x:row r="62">
      <x:c r="D62" s="8"/>
      <x:c r="G62" s="10"/>
      <x:c r="H62" s="12"/>
    </x:row>
    <x:row r="63">
      <x:c r="D63" s="8"/>
      <x:c r="G63" s="10"/>
      <x:c r="H63" s="12"/>
    </x:row>
    <x:row r="64">
      <x:c r="D64" s="8"/>
      <x:c r="G64" s="10"/>
      <x:c r="H64" s="12"/>
    </x:row>
    <x:row r="65">
      <x:c r="D65" s="8"/>
      <x:c r="G65" s="10"/>
      <x:c r="H65" s="12"/>
    </x:row>
    <x:row r="66">
      <x:c r="D66" s="8"/>
      <x:c r="G66" s="10"/>
      <x:c r="H66" s="12"/>
    </x:row>
    <x:row r="67">
      <x:c r="D67" s="8"/>
      <x:c r="G67" s="10"/>
      <x:c r="H67" s="12"/>
    </x:row>
    <x:row r="68">
      <x:c r="D68" s="8"/>
      <x:c r="G68" s="10"/>
      <x:c r="H68" s="12"/>
    </x:row>
    <x:row r="69">
      <x:c r="D69" s="8"/>
      <x:c r="G69" s="10"/>
      <x:c r="H69" s="12"/>
    </x:row>
    <x:row r="70">
      <x:c r="D70" s="8"/>
      <x:c r="G70" s="10"/>
      <x:c r="H70" s="12"/>
    </x:row>
    <x:row r="71">
      <x:c r="D71" s="8"/>
      <x:c r="G71" s="10"/>
      <x:c r="H71" s="12"/>
    </x:row>
    <x:row r="72">
      <x:c r="D72" s="8"/>
      <x:c r="G72" s="10"/>
      <x:c r="H72" s="12"/>
    </x:row>
    <x:row r="73">
      <x:c r="D73" s="8"/>
      <x:c r="G73" s="10"/>
      <x:c r="H73" s="12"/>
    </x:row>
    <x:row r="74">
      <x:c r="D74" s="8"/>
      <x:c r="G74" s="10"/>
      <x:c r="H74" s="12"/>
    </x:row>
    <x:row r="75">
      <x:c r="D75" s="8"/>
      <x:c r="G75" s="10"/>
      <x:c r="H75" s="12"/>
    </x:row>
    <x:row r="76">
      <x:c r="D76" s="8"/>
      <x:c r="G76" s="10"/>
      <x:c r="H76" s="12"/>
    </x:row>
    <x:row r="77">
      <x:c r="D77" s="8"/>
      <x:c r="G77" s="10"/>
      <x:c r="H77" s="12"/>
    </x:row>
    <x:row r="78">
      <x:c r="D78" s="8"/>
      <x:c r="G78" s="10"/>
      <x:c r="H78" s="12"/>
    </x:row>
    <x:row r="79">
      <x:c r="D79" s="8"/>
      <x:c r="G79" s="10"/>
      <x:c r="H79" s="12"/>
    </x:row>
    <x:row r="80">
      <x:c r="D80" s="8"/>
      <x:c r="G80" s="10"/>
      <x:c r="H80" s="12"/>
    </x:row>
    <x:row r="81">
      <x:c r="D81" s="8"/>
      <x:c r="G81" s="10"/>
      <x:c r="H81" s="12"/>
    </x:row>
    <x:row r="82">
      <x:c r="D82" s="8"/>
      <x:c r="G82" s="10"/>
      <x:c r="H82" s="12"/>
    </x:row>
    <x:row r="83">
      <x:c r="D83" s="8"/>
      <x:c r="G83" s="10"/>
      <x:c r="H83" s="12"/>
    </x:row>
    <x:row r="84">
      <x:c r="D84" s="8"/>
      <x:c r="G84" s="10"/>
      <x:c r="H84" s="12"/>
    </x:row>
    <x:row r="85">
      <x:c r="D85" s="8"/>
      <x:c r="G85" s="10"/>
      <x:c r="H85" s="12"/>
    </x:row>
    <x:row r="86">
      <x:c r="D86" s="8"/>
      <x:c r="G86" s="10"/>
      <x:c r="H86" s="12"/>
    </x:row>
    <x:row r="87">
      <x:c r="D87" s="8"/>
      <x:c r="G87" s="10"/>
      <x:c r="H87" s="12"/>
    </x:row>
    <x:row r="88">
      <x:c r="D88" s="8"/>
      <x:c r="G88" s="10"/>
      <x:c r="H88" s="12"/>
    </x:row>
    <x:row r="89">
      <x:c r="D89" s="8"/>
      <x:c r="G89" s="10"/>
      <x:c r="H89" s="12"/>
    </x:row>
    <x:row r="90">
      <x:c r="D90" s="8"/>
      <x:c r="G90" s="10"/>
      <x:c r="H90" s="12"/>
    </x:row>
    <x:row r="91">
      <x:c r="D91" s="8"/>
      <x:c r="G91" s="10"/>
      <x:c r="H91" s="12"/>
    </x:row>
    <x:row r="92">
      <x:c r="D92" s="8"/>
      <x:c r="G92" s="10"/>
      <x:c r="H92" s="12"/>
    </x:row>
    <x:row r="93">
      <x:c r="D93" s="8"/>
      <x:c r="G93" s="10"/>
      <x:c r="H93" s="12"/>
    </x:row>
    <x:row r="94">
      <x:c r="D94" s="8"/>
      <x:c r="G94" s="10"/>
      <x:c r="H94" s="12"/>
    </x:row>
    <x:row r="95">
      <x:c r="D95" s="8"/>
      <x:c r="G95" s="10"/>
      <x:c r="H95" s="12"/>
    </x:row>
    <x:row r="96">
      <x:c r="D96" s="8"/>
      <x:c r="G96" s="10"/>
      <x:c r="H96" s="12"/>
    </x:row>
    <x:row r="97">
      <x:c r="D97" s="8"/>
      <x:c r="G97" s="10"/>
      <x:c r="H97" s="12"/>
    </x:row>
    <x:row r="98">
      <x:c r="D98" s="8"/>
      <x:c r="G98" s="10"/>
      <x:c r="H98" s="12"/>
    </x:row>
    <x:row r="99">
      <x:c r="D99" s="8"/>
      <x:c r="G99" s="10"/>
      <x:c r="H99" s="12"/>
    </x:row>
    <x:row r="100">
      <x:c r="D100" s="8"/>
      <x:c r="G100" s="10"/>
      <x:c r="H100" s="12"/>
    </x:row>
  </x:sheetData>
  <x:dataValidations count="4">
    <x:dataValidation type="list" sqref="C2:C100">
      <x:formula1>Listas!$A$2:$A$7</x:formula1>
    </x:dataValidation>
    <x:dataValidation type="list" sqref="E2:E100">
      <x:formula1>Listas!$B$2:$B$9</x:formula1>
    </x:dataValidation>
    <x:dataValidation type="list" sqref="F2:F100">
      <x:formula1>Listas!$C$2:$C$6</x:formula1>
    </x:dataValidation>
    <x:dataValidation type="list" sqref="H2:H100">
      <x:formula1>Listas!$D$2:$D$13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485fe8affa43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6.730000019073486" hidden="0" customWidth="1"/>
    <x:col min="3" max="3" width="6.730000019073486" hidden="0" customWidth="1"/>
    <x:col min="4" max="4" width="14.800000190734863" hidden="0" customWidth="1"/>
    <x:col min="5" max="5" width="18.170000076293945" hidden="0" customWidth="1"/>
  </x:cols>
  <x:sheetData>
    <x:row r="1">
      <x:c r="A1" s="3" t="str">
        <x:v>Mês</x:v>
      </x:c>
      <x:c r="B1" s="3" t="str">
        <x:v>Gustavo</x:v>
      </x:c>
      <x:c r="C1" s="3" t="str">
        <x:v>Edineia</x:v>
      </x:c>
      <x:c r="D1" s="3" t="str">
        <x:v>Cada um/Dividido</x:v>
      </x:c>
      <x:c r="E1" s="3" t="str">
        <x:v>Total previsto parcelas</x:v>
      </x:c>
    </x:row>
    <x:row r="2">
      <x:c r="A2" s="18" t="n">
        <x:f>EDATE(DATE(2026,6,1),0)</x:f>
        <x:v>46174</x:v>
      </x:c>
      <x:c r="B2" s="8" t="n">
        <x:f>SUMPRODUCT((Custos!$H$2:$H$14="Gustavo")*(Custos!$K$2:$K$14)*(Custos!$I$2:$I$14&lt;=EOMONTH(A2,0))*(Custos!$L$2:$L$14&gt;=A2))</x:f>
        <x:v>0</x:v>
      </x:c>
      <x:c r="C2" s="8" t="n">
        <x:f>SUMPRODUCT((Custos!$H$2:$H$14="Edineia")*(Custos!$K$2:$K$14)*(Custos!$I$2:$I$14&lt;=EOMONTH(A2,0))*(Custos!$L$2:$L$14&gt;=A2))</x:f>
        <x:v>0</x:v>
      </x:c>
      <x:c r="D2" s="8" t="n">
        <x:f>SUMPRODUCT(((Custos!$H$2:$H$14="Cada um pagou o seu")+(Custos!$H$2:$H$14="Dividido 50/50"))*(Custos!$K$2:$K$14)*(Custos!$I$2:$I$14&lt;=EOMONTH(A2,0))*(Custos!$L$2:$L$14&gt;=A2))</x:f>
        <x:v>0</x:v>
      </x:c>
      <x:c r="E2" s="8" t="n">
        <x:f>SUM(B2:D2)</x:f>
        <x:v>0</x:v>
      </x:c>
    </x:row>
    <x:row r="3">
      <x:c r="A3" s="18" t="n">
        <x:f>EDATE(DATE(2026,6,1),1)</x:f>
        <x:v>46204</x:v>
      </x:c>
      <x:c r="B3" s="8" t="n">
        <x:f>SUMPRODUCT((Custos!$H$2:$H$14="Gustavo")*(Custos!$K$2:$K$14)*(Custos!$I$2:$I$14&lt;=EOMONTH(A3,0))*(Custos!$L$2:$L$14&gt;=A3))</x:f>
        <x:v>0</x:v>
      </x:c>
      <x:c r="C3" s="8" t="n">
        <x:f>SUMPRODUCT((Custos!$H$2:$H$14="Edineia")*(Custos!$K$2:$K$14)*(Custos!$I$2:$I$14&lt;=EOMONTH(A3,0))*(Custos!$L$2:$L$14&gt;=A3))</x:f>
        <x:v>0</x:v>
      </x:c>
      <x:c r="D3" s="8" t="n">
        <x:f>SUMPRODUCT(((Custos!$H$2:$H$14="Cada um pagou o seu")+(Custos!$H$2:$H$14="Dividido 50/50"))*(Custos!$K$2:$K$14)*(Custos!$I$2:$I$14&lt;=EOMONTH(A3,0))*(Custos!$L$2:$L$14&gt;=A3))</x:f>
        <x:v>0</x:v>
      </x:c>
      <x:c r="E3" s="8" t="n">
        <x:f>SUM(B3:D3)</x:f>
        <x:v>0</x:v>
      </x:c>
    </x:row>
    <x:row r="4">
      <x:c r="A4" s="18" t="n">
        <x:f>EDATE(DATE(2026,6,1),2)</x:f>
        <x:v>46235</x:v>
      </x:c>
      <x:c r="B4" s="8" t="n">
        <x:f>SUMPRODUCT((Custos!$H$2:$H$14="Gustavo")*(Custos!$K$2:$K$14)*(Custos!$I$2:$I$14&lt;=EOMONTH(A4,0))*(Custos!$L$2:$L$14&gt;=A4))</x:f>
        <x:v>0</x:v>
      </x:c>
      <x:c r="C4" s="8" t="n">
        <x:f>SUMPRODUCT((Custos!$H$2:$H$14="Edineia")*(Custos!$K$2:$K$14)*(Custos!$I$2:$I$14&lt;=EOMONTH(A4,0))*(Custos!$L$2:$L$14&gt;=A4))</x:f>
        <x:v>0</x:v>
      </x:c>
      <x:c r="D4" s="8" t="n">
        <x:f>SUMPRODUCT(((Custos!$H$2:$H$14="Cada um pagou o seu")+(Custos!$H$2:$H$14="Dividido 50/50"))*(Custos!$K$2:$K$14)*(Custos!$I$2:$I$14&lt;=EOMONTH(A4,0))*(Custos!$L$2:$L$14&gt;=A4))</x:f>
        <x:v>0</x:v>
      </x:c>
      <x:c r="E4" s="8" t="n">
        <x:f>SUM(B4:D4)</x:f>
        <x:v>0</x:v>
      </x:c>
    </x:row>
    <x:row r="5">
      <x:c r="A5" s="18" t="n">
        <x:f>EDATE(DATE(2026,6,1),3)</x:f>
        <x:v>46266</x:v>
      </x:c>
      <x:c r="B5" s="8" t="n">
        <x:f>SUMPRODUCT((Custos!$H$2:$H$14="Gustavo")*(Custos!$K$2:$K$14)*(Custos!$I$2:$I$14&lt;=EOMONTH(A5,0))*(Custos!$L$2:$L$14&gt;=A5))</x:f>
        <x:v>0</x:v>
      </x:c>
      <x:c r="C5" s="8" t="n">
        <x:f>SUMPRODUCT((Custos!$H$2:$H$14="Edineia")*(Custos!$K$2:$K$14)*(Custos!$I$2:$I$14&lt;=EOMONTH(A5,0))*(Custos!$L$2:$L$14&gt;=A5))</x:f>
        <x:v>0</x:v>
      </x:c>
      <x:c r="D5" s="8" t="n">
        <x:f>SUMPRODUCT(((Custos!$H$2:$H$14="Cada um pagou o seu")+(Custos!$H$2:$H$14="Dividido 50/50"))*(Custos!$K$2:$K$14)*(Custos!$I$2:$I$14&lt;=EOMONTH(A5,0))*(Custos!$L$2:$L$14&gt;=A5))</x:f>
        <x:v>0</x:v>
      </x:c>
      <x:c r="E5" s="8" t="n">
        <x:f>SUM(B5:D5)</x:f>
        <x:v>0</x:v>
      </x:c>
    </x:row>
    <x:row r="6">
      <x:c r="A6" s="18" t="n">
        <x:f>EDATE(DATE(2026,6,1),4)</x:f>
        <x:v>46296</x:v>
      </x:c>
      <x:c r="B6" s="8" t="n">
        <x:f>SUMPRODUCT((Custos!$H$2:$H$14="Gustavo")*(Custos!$K$2:$K$14)*(Custos!$I$2:$I$14&lt;=EOMONTH(A6,0))*(Custos!$L$2:$L$14&gt;=A6))</x:f>
        <x:v>0</x:v>
      </x:c>
      <x:c r="C6" s="8" t="n">
        <x:f>SUMPRODUCT((Custos!$H$2:$H$14="Edineia")*(Custos!$K$2:$K$14)*(Custos!$I$2:$I$14&lt;=EOMONTH(A6,0))*(Custos!$L$2:$L$14&gt;=A6))</x:f>
        <x:v>0</x:v>
      </x:c>
      <x:c r="D6" s="8" t="n">
        <x:f>SUMPRODUCT(((Custos!$H$2:$H$14="Cada um pagou o seu")+(Custos!$H$2:$H$14="Dividido 50/50"))*(Custos!$K$2:$K$14)*(Custos!$I$2:$I$14&lt;=EOMONTH(A6,0))*(Custos!$L$2:$L$14&gt;=A6))</x:f>
        <x:v>0</x:v>
      </x:c>
      <x:c r="E6" s="8" t="n">
        <x:f>SUM(B6:D6)</x:f>
        <x:v>0</x:v>
      </x:c>
    </x:row>
    <x:row r="7">
      <x:c r="A7" s="18" t="n">
        <x:f>EDATE(DATE(2026,6,1),5)</x:f>
        <x:v>46327</x:v>
      </x:c>
      <x:c r="B7" s="8" t="n">
        <x:f>SUMPRODUCT((Custos!$H$2:$H$14="Gustavo")*(Custos!$K$2:$K$14)*(Custos!$I$2:$I$14&lt;=EOMONTH(A7,0))*(Custos!$L$2:$L$14&gt;=A7))</x:f>
        <x:v>0</x:v>
      </x:c>
      <x:c r="C7" s="8" t="n">
        <x:f>SUMPRODUCT((Custos!$H$2:$H$14="Edineia")*(Custos!$K$2:$K$14)*(Custos!$I$2:$I$14&lt;=EOMONTH(A7,0))*(Custos!$L$2:$L$14&gt;=A7))</x:f>
        <x:v>0</x:v>
      </x:c>
      <x:c r="D7" s="8" t="n">
        <x:f>SUMPRODUCT(((Custos!$H$2:$H$14="Cada um pagou o seu")+(Custos!$H$2:$H$14="Dividido 50/50"))*(Custos!$K$2:$K$14)*(Custos!$I$2:$I$14&lt;=EOMONTH(A7,0))*(Custos!$L$2:$L$14&gt;=A7))</x:f>
        <x:v>0</x:v>
      </x:c>
      <x:c r="E7" s="8" t="n">
        <x:f>SUM(B7:D7)</x:f>
        <x:v>0</x:v>
      </x:c>
    </x:row>
    <x:row r="8">
      <x:c r="A8" s="18" t="n">
        <x:f>EDATE(DATE(2026,6,1),6)</x:f>
        <x:v>46357</x:v>
      </x:c>
      <x:c r="B8" s="8" t="n">
        <x:f>SUMPRODUCT((Custos!$H$2:$H$14="Gustavo")*(Custos!$K$2:$K$14)*(Custos!$I$2:$I$14&lt;=EOMONTH(A8,0))*(Custos!$L$2:$L$14&gt;=A8))</x:f>
        <x:v>0</x:v>
      </x:c>
      <x:c r="C8" s="8" t="n">
        <x:f>SUMPRODUCT((Custos!$H$2:$H$14="Edineia")*(Custos!$K$2:$K$14)*(Custos!$I$2:$I$14&lt;=EOMONTH(A8,0))*(Custos!$L$2:$L$14&gt;=A8))</x:f>
        <x:v>0</x:v>
      </x:c>
      <x:c r="D8" s="8" t="n">
        <x:f>SUMPRODUCT(((Custos!$H$2:$H$14="Cada um pagou o seu")+(Custos!$H$2:$H$14="Dividido 50/50"))*(Custos!$K$2:$K$14)*(Custos!$I$2:$I$14&lt;=EOMONTH(A8,0))*(Custos!$L$2:$L$14&gt;=A8))</x:f>
        <x:v>0</x:v>
      </x:c>
      <x:c r="E8" s="8" t="n">
        <x:f>SUM(B8:D8)</x:f>
        <x:v>0</x:v>
      </x:c>
    </x:row>
    <x:row r="9">
      <x:c r="A9" s="18" t="n">
        <x:f>EDATE(DATE(2026,6,1),7)</x:f>
        <x:v>46388</x:v>
      </x:c>
      <x:c r="B9" s="8" t="n">
        <x:f>SUMPRODUCT((Custos!$H$2:$H$14="Gustavo")*(Custos!$K$2:$K$14)*(Custos!$I$2:$I$14&lt;=EOMONTH(A9,0))*(Custos!$L$2:$L$14&gt;=A9))</x:f>
        <x:v>0</x:v>
      </x:c>
      <x:c r="C9" s="8" t="n">
        <x:f>SUMPRODUCT((Custos!$H$2:$H$14="Edineia")*(Custos!$K$2:$K$14)*(Custos!$I$2:$I$14&lt;=EOMONTH(A9,0))*(Custos!$L$2:$L$14&gt;=A9))</x:f>
        <x:v>0</x:v>
      </x:c>
      <x:c r="D9" s="8" t="n">
        <x:f>SUMPRODUCT(((Custos!$H$2:$H$14="Cada um pagou o seu")+(Custos!$H$2:$H$14="Dividido 50/50"))*(Custos!$K$2:$K$14)*(Custos!$I$2:$I$14&lt;=EOMONTH(A9,0))*(Custos!$L$2:$L$14&gt;=A9))</x:f>
        <x:v>0</x:v>
      </x:c>
      <x:c r="E9" s="8" t="n">
        <x:f>SUM(B9:D9)</x:f>
        <x:v>0</x:v>
      </x:c>
    </x:row>
    <x:row r="10">
      <x:c r="A10" s="18" t="n">
        <x:f>EDATE(DATE(2026,6,1),8)</x:f>
        <x:v>46419</x:v>
      </x:c>
      <x:c r="B10" s="8" t="n">
        <x:f>SUMPRODUCT((Custos!$H$2:$H$14="Gustavo")*(Custos!$K$2:$K$14)*(Custos!$I$2:$I$14&lt;=EOMONTH(A10,0))*(Custos!$L$2:$L$14&gt;=A10))</x:f>
        <x:v>0</x:v>
      </x:c>
      <x:c r="C10" s="8" t="n">
        <x:f>SUMPRODUCT((Custos!$H$2:$H$14="Edineia")*(Custos!$K$2:$K$14)*(Custos!$I$2:$I$14&lt;=EOMONTH(A10,0))*(Custos!$L$2:$L$14&gt;=A10))</x:f>
        <x:v>0</x:v>
      </x:c>
      <x:c r="D10" s="8" t="n">
        <x:f>SUMPRODUCT(((Custos!$H$2:$H$14="Cada um pagou o seu")+(Custos!$H$2:$H$14="Dividido 50/50"))*(Custos!$K$2:$K$14)*(Custos!$I$2:$I$14&lt;=EOMONTH(A10,0))*(Custos!$L$2:$L$14&gt;=A10))</x:f>
        <x:v>0</x:v>
      </x:c>
      <x:c r="E10" s="8" t="n">
        <x:f>SUM(B10:D10)</x:f>
        <x:v>0</x:v>
      </x:c>
    </x:row>
    <x:row r="11">
      <x:c r="A11" s="18" t="n">
        <x:f>EDATE(DATE(2026,6,1),9)</x:f>
        <x:v>46447</x:v>
      </x:c>
      <x:c r="B11" s="8" t="n">
        <x:f>SUMPRODUCT((Custos!$H$2:$H$14="Gustavo")*(Custos!$K$2:$K$14)*(Custos!$I$2:$I$14&lt;=EOMONTH(A11,0))*(Custos!$L$2:$L$14&gt;=A11))</x:f>
        <x:v>0</x:v>
      </x:c>
      <x:c r="C11" s="8" t="n">
        <x:f>SUMPRODUCT((Custos!$H$2:$H$14="Edineia")*(Custos!$K$2:$K$14)*(Custos!$I$2:$I$14&lt;=EOMONTH(A11,0))*(Custos!$L$2:$L$14&gt;=A11))</x:f>
        <x:v>0</x:v>
      </x:c>
      <x:c r="D11" s="8" t="n">
        <x:f>SUMPRODUCT(((Custos!$H$2:$H$14="Cada um pagou o seu")+(Custos!$H$2:$H$14="Dividido 50/50"))*(Custos!$K$2:$K$14)*(Custos!$I$2:$I$14&lt;=EOMONTH(A11,0))*(Custos!$L$2:$L$14&gt;=A11))</x:f>
        <x:v>0</x:v>
      </x:c>
      <x:c r="E11" s="8" t="n">
        <x:f>SUM(B11:D11)</x:f>
        <x:v>0</x:v>
      </x:c>
    </x:row>
    <x:row r="12">
      <x:c r="A12" s="18" t="n">
        <x:f>EDATE(DATE(2026,6,1),10)</x:f>
        <x:v>46478</x:v>
      </x:c>
      <x:c r="B12" s="8" t="n">
        <x:f>SUMPRODUCT((Custos!$H$2:$H$14="Gustavo")*(Custos!$K$2:$K$14)*(Custos!$I$2:$I$14&lt;=EOMONTH(A12,0))*(Custos!$L$2:$L$14&gt;=A12))</x:f>
        <x:v>0</x:v>
      </x:c>
      <x:c r="C12" s="8" t="n">
        <x:f>SUMPRODUCT((Custos!$H$2:$H$14="Edineia")*(Custos!$K$2:$K$14)*(Custos!$I$2:$I$14&lt;=EOMONTH(A12,0))*(Custos!$L$2:$L$14&gt;=A12))</x:f>
        <x:v>0</x:v>
      </x:c>
      <x:c r="D12" s="8" t="n">
        <x:f>SUMPRODUCT(((Custos!$H$2:$H$14="Cada um pagou o seu")+(Custos!$H$2:$H$14="Dividido 50/50"))*(Custos!$K$2:$K$14)*(Custos!$I$2:$I$14&lt;=EOMONTH(A12,0))*(Custos!$L$2:$L$14&gt;=A12))</x:f>
        <x:v>0</x:v>
      </x:c>
      <x:c r="E12" s="8" t="n">
        <x:f>SUM(B12:D12)</x:f>
        <x:v>0</x:v>
      </x:c>
    </x:row>
    <x:row r="13">
      <x:c r="A13" s="18" t="n">
        <x:f>EDATE(DATE(2026,6,1),11)</x:f>
        <x:v>46508</x:v>
      </x:c>
      <x:c r="B13" s="8" t="n">
        <x:f>SUMPRODUCT((Custos!$H$2:$H$14="Gustavo")*(Custos!$K$2:$K$14)*(Custos!$I$2:$I$14&lt;=EOMONTH(A13,0))*(Custos!$L$2:$L$14&gt;=A13))</x:f>
        <x:v>0</x:v>
      </x:c>
      <x:c r="C13" s="8" t="n">
        <x:f>SUMPRODUCT((Custos!$H$2:$H$14="Edineia")*(Custos!$K$2:$K$14)*(Custos!$I$2:$I$14&lt;=EOMONTH(A13,0))*(Custos!$L$2:$L$14&gt;=A13))</x:f>
        <x:v>0</x:v>
      </x:c>
      <x:c r="D13" s="8" t="n">
        <x:f>SUMPRODUCT(((Custos!$H$2:$H$14="Cada um pagou o seu")+(Custos!$H$2:$H$14="Dividido 50/50"))*(Custos!$K$2:$K$14)*(Custos!$I$2:$I$14&lt;=EOMONTH(A13,0))*(Custos!$L$2:$L$14&gt;=A13))</x:f>
        <x:v>0</x:v>
      </x:c>
      <x:c r="E13" s="8" t="n">
        <x:f>SUM(B13:D13)</x:f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25.170000076293945" hidden="0" customWidth="1"/>
    <x:col min="3" max="3" width="9.6899995803833" hidden="0" customWidth="1"/>
    <x:col min="4" max="4" width="11.170000076293945" hidden="0" customWidth="1"/>
    <x:col min="5" max="5" width="5.789999961853027" hidden="0" customWidth="1"/>
  </x:cols>
  <x:sheetData>
    <x:row r="1">
      <x:c r="A1" s="3" t="str">
        <x:v>Categoria</x:v>
      </x:c>
      <x:c r="B1" s="3" t="str">
        <x:v>Item</x:v>
      </x:c>
      <x:c r="C1" s="3" t="str">
        <x:v>Status</x:v>
      </x:c>
      <x:c r="D1" s="3" t="str">
        <x:v>Prioridade</x:v>
      </x:c>
      <x:c r="E1" s="3" t="str">
        <x:v>Obs</x:v>
      </x:c>
    </x:row>
    <x:row r="2">
      <x:c r="A2" t="str">
        <x:v>Documentos</x:v>
      </x:c>
      <x:c r="B2" t="str">
        <x:v>Passaporte válido</x:v>
      </x:c>
      <x:c r="C2" t="str">
        <x:v>Pendente</x:v>
      </x:c>
      <x:c r="D2" t="str">
        <x:v>Alta</x:v>
      </x:c>
      <x:c r="E2" t="str"/>
    </x:row>
    <x:row r="3">
      <x:c r="A3" t="str">
        <x:v>Financeiro</x:v>
      </x:c>
      <x:c r="B3" t="str">
        <x:v>Wise carregado</x:v>
      </x:c>
      <x:c r="C3" t="str">
        <x:v>Pendente</x:v>
      </x:c>
      <x:c r="D3" t="str">
        <x:v>Alta</x:v>
      </x:c>
      <x:c r="E3" t="str"/>
    </x:row>
    <x:row r="4">
      <x:c r="A4" t="str">
        <x:v>Financeiro</x:v>
      </x:c>
      <x:c r="B4" t="str">
        <x:v>MXN físico 3.000–5.000</x:v>
      </x:c>
      <x:c r="C4" t="str">
        <x:v>Pendente</x:v>
      </x:c>
      <x:c r="D4" t="str">
        <x:v>Média</x:v>
      </x:c>
      <x:c r="E4" t="str"/>
    </x:row>
    <x:row r="5">
      <x:c r="A5" t="str">
        <x:v>Pagamento</x:v>
      </x:c>
      <x:c r="B5" t="str">
        <x:v>Definir cartão/Pix para voos</x:v>
      </x:c>
      <x:c r="C5" t="str">
        <x:v>Pendente</x:v>
      </x:c>
      <x:c r="D5" t="str">
        <x:v>Alta</x:v>
      </x:c>
      <x:c r="E5" t="str"/>
    </x:row>
    <x:row r="6">
      <x:c r="A6" t="str">
        <x:v>Pagamento</x:v>
      </x:c>
      <x:c r="B6" t="str">
        <x:v>Definir quem paga cada reserva</x:v>
      </x:c>
      <x:c r="C6" t="str">
        <x:v>Pendente</x:v>
      </x:c>
      <x:c r="D6" t="str">
        <x:v>Alta</x:v>
      </x:c>
      <x:c r="E6" t="str"/>
    </x:row>
    <x:row r="7">
      <x:c r="A7" t="str">
        <x:v>Passeios</x:v>
      </x:c>
      <x:c r="B7" t="str">
        <x:v>Xcaret comprado</x:v>
      </x:c>
      <x:c r="C7" t="str">
        <x:v>Pendente</x:v>
      </x:c>
      <x:c r="D7" t="str">
        <x:v>Alta</x:v>
      </x:c>
      <x:c r="E7" t="str"/>
    </x:row>
    <x:row r="8">
      <x:c r="A8" t="str">
        <x:v>Operacional</x:v>
      </x:c>
      <x:c r="B8" t="str">
        <x:v>Google Maps offline</x:v>
      </x:c>
      <x:c r="C8" t="str">
        <x:v>Pendente</x:v>
      </x:c>
      <x:c r="D8" t="str">
        <x:v>Média</x:v>
      </x:c>
      <x:c r="E8" t="str"/>
    </x:row>
  </x:sheetData>
  <x:dataValidations count="2">
    <x:dataValidation type="list" sqref="C2:C100">
      <x:formula1>"Pendente,Em andamento,Feito,Não vai fazer"</x:formula1>
    </x:dataValidation>
    <x:dataValidation type="list" sqref="D2:D100">
      <x:formula1>"Alta,Média,Baixa"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95dca6332149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34000015258789" hidden="0" customWidth="1"/>
    <x:col min="2" max="2" width="16.420000076293945" hidden="0" customWidth="1"/>
    <x:col min="3" max="3" width="17.09000015258789" hidden="0" customWidth="1"/>
    <x:col min="4" max="4" width="6.590000152587891" hidden="0" customWidth="1"/>
  </x:cols>
  <x:sheetData>
    <x:row r="1">
      <x:c r="A1" s="3" t="str">
        <x:v>Status</x:v>
      </x:c>
      <x:c r="B1" s="3" t="str">
        <x:v>Meio de pagamento</x:v>
      </x:c>
      <x:c r="C1" s="3" t="str">
        <x:v>Quem pagou</x:v>
      </x:c>
      <x:c r="D1" s="3" t="str">
        <x:v>Parcelas</x:v>
      </x:c>
    </x:row>
    <x:row r="2">
      <x:c r="A2" t="str">
        <x:v>Pendente</x:v>
      </x:c>
      <x:c r="B2" t="str">
        <x:v>Pix</x:v>
      </x:c>
      <x:c r="C2" t="str">
        <x:v>Gustavo</x:v>
      </x:c>
      <x:c r="D2" t="n">
        <x:v>1</x:v>
      </x:c>
    </x:row>
    <x:row r="3">
      <x:c r="A3" t="str">
        <x:v>Reservado</x:v>
      </x:c>
      <x:c r="B3" t="str">
        <x:v>Cartão à vista</x:v>
      </x:c>
      <x:c r="C3" t="str">
        <x:v>Edineia</x:v>
      </x:c>
      <x:c r="D3" t="n">
        <x:v>2</x:v>
      </x:c>
    </x:row>
    <x:row r="4">
      <x:c r="A4" t="str">
        <x:v>Pago</x:v>
      </x:c>
      <x:c r="B4" t="str">
        <x:v>Cartão parcelado</x:v>
      </x:c>
      <x:c r="C4" t="str">
        <x:v>Cada um pagou o seu</x:v>
      </x:c>
      <x:c r="D4" t="n">
        <x:v>3</x:v>
      </x:c>
    </x:row>
    <x:row r="5">
      <x:c r="A5" t="str">
        <x:v>Parcial</x:v>
      </x:c>
      <x:c r="B5" t="str">
        <x:v>Wise</x:v>
      </x:c>
      <x:c r="C5" t="str">
        <x:v>Dividido 50/50</x:v>
      </x:c>
      <x:c r="D5" t="n">
        <x:v>4</x:v>
      </x:c>
    </x:row>
    <x:row r="6">
      <x:c r="A6" t="str">
        <x:v>Opcional</x:v>
      </x:c>
      <x:c r="B6" t="str">
        <x:v>Dinheiro</x:v>
      </x:c>
      <x:c r="C6" t="str">
        <x:v>A definir</x:v>
      </x:c>
      <x:c r="D6" t="n">
        <x:v>5</x:v>
      </x:c>
    </x:row>
    <x:row r="7">
      <x:c r="A7" t="str">
        <x:v>Cancelado</x:v>
      </x:c>
      <x:c r="B7" t="str">
        <x:v>Milhas/Pontos</x:v>
      </x:c>
      <x:c r="D7" t="n">
        <x:v>6</x:v>
      </x:c>
    </x:row>
    <x:row r="8">
      <x:c r="B8" t="str">
        <x:v>Outro</x:v>
      </x:c>
      <x:c r="D8" t="n">
        <x:v>7</x:v>
      </x:c>
    </x:row>
    <x:row r="9">
      <x:c r="B9" t="str">
        <x:v>A definir</x:v>
      </x:c>
      <x:c r="D9" t="n">
        <x:v>8</x:v>
      </x:c>
    </x:row>
    <x:row r="10">
      <x:c r="D10" t="n">
        <x:v>9</x:v>
      </x:c>
    </x:row>
    <x:row r="11">
      <x:c r="D11" t="n">
        <x:v>10</x:v>
      </x:c>
    </x:row>
    <x:row r="12">
      <x:c r="D12" t="n">
        <x:v>11</x:v>
      </x:c>
    </x:row>
    <x:row r="13">
      <x:c r="D13" t="n">
        <x:v>12</x:v>
      </x:c>
    </x:row>
  </x:sheetData>
  <x:pageMargins left="0.7" right="0.7" top="0.75" bottom="0.75" header="0.3" footer="0.3"/>
</x:worksheet>
</file>